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Foundation\"/>
    </mc:Choice>
  </mc:AlternateContent>
  <xr:revisionPtr revIDLastSave="0" documentId="8_{9AB4B3E5-1BF6-418D-BCCA-4F694D58FC59}" xr6:coauthVersionLast="47" xr6:coauthVersionMax="47" xr10:uidLastSave="{00000000-0000-0000-0000-000000000000}"/>
  <bookViews>
    <workbookView xWindow="-108" yWindow="-108" windowWidth="23256" windowHeight="12456" firstSheet="9" activeTab="10" xr2:uid="{00000000-000D-0000-FFFF-FFFF00000000}"/>
  </bookViews>
  <sheets>
    <sheet name="FOOD WASTAGE-SANNAI MESS" sheetId="4" r:id="rId1"/>
    <sheet name="PLATE COUNT -SANNAI MESS" sheetId="29" r:id="rId2"/>
    <sheet name="REPORT - SANNASI MESS" sheetId="30" r:id="rId3"/>
    <sheet name="FOOD WASTAGE-D-MESS" sheetId="13" r:id="rId4"/>
    <sheet name="PLATE COUNT-D-MESS" sheetId="31" r:id="rId5"/>
    <sheet name="REPORT -D-MESS" sheetId="32" r:id="rId6"/>
    <sheet name="FOOD WASTAGE-SENBAGAM MESS" sheetId="14" r:id="rId7"/>
    <sheet name="PLATE COUNT-SENBAGAM MESS" sheetId="33" r:id="rId8"/>
    <sheet name="REPORT -SENBAGAM MESS" sheetId="34" r:id="rId9"/>
    <sheet name="FOOD WASTAGE-J-MESS" sheetId="15" r:id="rId10"/>
    <sheet name="PLATE COUNT-J MESS" sheetId="35" r:id="rId11"/>
    <sheet name="REPORT -J MESS" sheetId="36" r:id="rId12"/>
    <sheet name="FOOD WASTAGE-MEENAKSHI MESS" sheetId="16" r:id="rId13"/>
    <sheet name="PLATE COUNT-MMEAKSHI MESS" sheetId="37" r:id="rId14"/>
    <sheet name="REPORT -MEENAKSHI MESS" sheetId="38" r:id="rId15"/>
    <sheet name="FOOD WASTAGE-STAFF MESS" sheetId="17" r:id="rId16"/>
    <sheet name="PLATE COUNT-STAFF MESS" sheetId="39" r:id="rId17"/>
    <sheet name="REPORT -STAFF MESS" sheetId="40" r:id="rId18"/>
    <sheet name="ALL MESS REPORT" sheetId="4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40" l="1"/>
  <c r="M16" i="40"/>
  <c r="BZ17" i="41" s="1"/>
  <c r="L16" i="40"/>
  <c r="BY17" i="41" s="1"/>
  <c r="J16" i="40"/>
  <c r="BW17" i="41" s="1"/>
  <c r="I16" i="40"/>
  <c r="BV17" i="41" s="1"/>
  <c r="G16" i="40"/>
  <c r="BT17" i="41" s="1"/>
  <c r="F16" i="40"/>
  <c r="E16" i="40"/>
  <c r="BR17" i="41" s="1"/>
  <c r="D16" i="40"/>
  <c r="BQ17" i="41" s="1"/>
  <c r="C16" i="40"/>
  <c r="BP17" i="41" s="1"/>
  <c r="N15" i="40"/>
  <c r="CA16" i="41" s="1"/>
  <c r="M15" i="40"/>
  <c r="BZ16" i="41" s="1"/>
  <c r="L15" i="40"/>
  <c r="BY16" i="41" s="1"/>
  <c r="J15" i="40"/>
  <c r="BW16" i="41" s="1"/>
  <c r="I15" i="40"/>
  <c r="BV16" i="41" s="1"/>
  <c r="G15" i="40"/>
  <c r="F15" i="40"/>
  <c r="BS16" i="41" s="1"/>
  <c r="D15" i="40"/>
  <c r="BQ16" i="41" s="1"/>
  <c r="C15" i="40"/>
  <c r="M14" i="40"/>
  <c r="BZ15" i="41" s="1"/>
  <c r="L14" i="40"/>
  <c r="BY15" i="41" s="1"/>
  <c r="J14" i="40"/>
  <c r="BW15" i="41" s="1"/>
  <c r="I14" i="40"/>
  <c r="BV15" i="41" s="1"/>
  <c r="G14" i="40"/>
  <c r="BT15" i="41" s="1"/>
  <c r="F14" i="40"/>
  <c r="BS15" i="41" s="1"/>
  <c r="D14" i="40"/>
  <c r="C14" i="40"/>
  <c r="BP15" i="41" s="1"/>
  <c r="M13" i="40"/>
  <c r="L13" i="40"/>
  <c r="BY14" i="41" s="1"/>
  <c r="J13" i="40"/>
  <c r="BW14" i="41" s="1"/>
  <c r="I13" i="40"/>
  <c r="H13" i="40"/>
  <c r="BU14" i="41" s="1"/>
  <c r="G13" i="40"/>
  <c r="BT14" i="41" s="1"/>
  <c r="F13" i="40"/>
  <c r="BS14" i="41" s="1"/>
  <c r="E13" i="40"/>
  <c r="D13" i="40"/>
  <c r="BQ14" i="41" s="1"/>
  <c r="C13" i="40"/>
  <c r="BP14" i="41" s="1"/>
  <c r="N12" i="40"/>
  <c r="M12" i="40"/>
  <c r="BZ13" i="41" s="1"/>
  <c r="L12" i="40"/>
  <c r="BY13" i="41" s="1"/>
  <c r="J12" i="40"/>
  <c r="BW13" i="41" s="1"/>
  <c r="I12" i="40"/>
  <c r="BV13" i="41" s="1"/>
  <c r="G12" i="40"/>
  <c r="BT13" i="41" s="1"/>
  <c r="F12" i="40"/>
  <c r="D12" i="40"/>
  <c r="BQ13" i="41" s="1"/>
  <c r="C12" i="40"/>
  <c r="BP13" i="41" s="1"/>
  <c r="M11" i="40"/>
  <c r="BZ12" i="41" s="1"/>
  <c r="L11" i="40"/>
  <c r="BY12" i="41" s="1"/>
  <c r="K11" i="40"/>
  <c r="J11" i="40"/>
  <c r="BW12" i="41" s="1"/>
  <c r="I11" i="40"/>
  <c r="BV12" i="41" s="1"/>
  <c r="G11" i="40"/>
  <c r="F11" i="40"/>
  <c r="BS12" i="41" s="1"/>
  <c r="D11" i="40"/>
  <c r="BQ12" i="41" s="1"/>
  <c r="C11" i="40"/>
  <c r="M10" i="40"/>
  <c r="BZ11" i="41" s="1"/>
  <c r="L10" i="40"/>
  <c r="J10" i="40"/>
  <c r="BW11" i="41" s="1"/>
  <c r="I10" i="40"/>
  <c r="BV11" i="41" s="1"/>
  <c r="G10" i="40"/>
  <c r="BT11" i="41" s="1"/>
  <c r="F10" i="40"/>
  <c r="BS11" i="41" s="1"/>
  <c r="D10" i="40"/>
  <c r="C10" i="40"/>
  <c r="BP11" i="41" s="1"/>
  <c r="M9" i="40"/>
  <c r="L9" i="40"/>
  <c r="BY10" i="41" s="1"/>
  <c r="J9" i="40"/>
  <c r="BW10" i="41" s="1"/>
  <c r="I9" i="40"/>
  <c r="G9" i="40"/>
  <c r="BT10" i="41" s="1"/>
  <c r="F9" i="40"/>
  <c r="BS10" i="41" s="1"/>
  <c r="D9" i="40"/>
  <c r="BQ10" i="41" s="1"/>
  <c r="C9" i="40"/>
  <c r="BP10" i="41" s="1"/>
  <c r="M8" i="40"/>
  <c r="BZ9" i="41" s="1"/>
  <c r="L8" i="40"/>
  <c r="BY9" i="41" s="1"/>
  <c r="J8" i="40"/>
  <c r="BW9" i="41" s="1"/>
  <c r="I8" i="40"/>
  <c r="BV9" i="41" s="1"/>
  <c r="G8" i="40"/>
  <c r="BT9" i="41" s="1"/>
  <c r="F8" i="40"/>
  <c r="D8" i="40"/>
  <c r="BQ9" i="41" s="1"/>
  <c r="C8" i="40"/>
  <c r="BP9" i="41" s="1"/>
  <c r="M7" i="40"/>
  <c r="BZ8" i="41" s="1"/>
  <c r="L7" i="40"/>
  <c r="BY8" i="41" s="1"/>
  <c r="J7" i="40"/>
  <c r="BW8" i="41" s="1"/>
  <c r="I7" i="40"/>
  <c r="BV8" i="41" s="1"/>
  <c r="G7" i="40"/>
  <c r="F7" i="40"/>
  <c r="BS8" i="41" s="1"/>
  <c r="D7" i="40"/>
  <c r="BQ8" i="41" s="1"/>
  <c r="C7" i="40"/>
  <c r="M6" i="40"/>
  <c r="BZ7" i="41" s="1"/>
  <c r="L6" i="40"/>
  <c r="N6" i="40" s="1"/>
  <c r="J6" i="40"/>
  <c r="BW7" i="41" s="1"/>
  <c r="I6" i="40"/>
  <c r="BV7" i="41" s="1"/>
  <c r="G6" i="40"/>
  <c r="BT7" i="41" s="1"/>
  <c r="F6" i="40"/>
  <c r="BS7" i="41" s="1"/>
  <c r="D6" i="40"/>
  <c r="C6" i="40"/>
  <c r="BP7" i="41" s="1"/>
  <c r="M5" i="40"/>
  <c r="BZ6" i="41" s="1"/>
  <c r="L5" i="40"/>
  <c r="J5" i="40"/>
  <c r="BW6" i="41" s="1"/>
  <c r="I5" i="40"/>
  <c r="BV6" i="41" s="1"/>
  <c r="H5" i="40"/>
  <c r="G5" i="40"/>
  <c r="F5" i="40"/>
  <c r="BS6" i="41" s="1"/>
  <c r="D5" i="40"/>
  <c r="C5" i="40"/>
  <c r="F16" i="39"/>
  <c r="E16" i="39"/>
  <c r="D16" i="39"/>
  <c r="C16" i="39"/>
  <c r="G15" i="39"/>
  <c r="G14" i="39"/>
  <c r="G13" i="39"/>
  <c r="G12" i="39"/>
  <c r="G11" i="39"/>
  <c r="G10" i="39"/>
  <c r="G9" i="39"/>
  <c r="G8" i="39"/>
  <c r="G7" i="39"/>
  <c r="G6" i="39"/>
  <c r="G5" i="39"/>
  <c r="G4" i="39"/>
  <c r="F16" i="17"/>
  <c r="E16" i="17"/>
  <c r="D16" i="17"/>
  <c r="C16" i="17"/>
  <c r="G15" i="17"/>
  <c r="G14" i="17"/>
  <c r="G13" i="17"/>
  <c r="G12" i="17"/>
  <c r="G11" i="17"/>
  <c r="G10" i="17"/>
  <c r="G9" i="17"/>
  <c r="G8" i="17"/>
  <c r="G7" i="17"/>
  <c r="G6" i="17"/>
  <c r="G5" i="17"/>
  <c r="G4" i="17"/>
  <c r="M16" i="38"/>
  <c r="L16" i="38"/>
  <c r="BL17" i="41" s="1"/>
  <c r="J16" i="38"/>
  <c r="BJ17" i="41" s="1"/>
  <c r="I16" i="38"/>
  <c r="G16" i="38"/>
  <c r="BG17" i="41" s="1"/>
  <c r="F16" i="38"/>
  <c r="BF17" i="41" s="1"/>
  <c r="D16" i="38"/>
  <c r="BD17" i="41" s="1"/>
  <c r="C16" i="38"/>
  <c r="BC17" i="41" s="1"/>
  <c r="M15" i="38"/>
  <c r="BM16" i="41" s="1"/>
  <c r="L15" i="38"/>
  <c r="BL16" i="41" s="1"/>
  <c r="J15" i="38"/>
  <c r="BJ16" i="41" s="1"/>
  <c r="I15" i="38"/>
  <c r="G15" i="38"/>
  <c r="BG16" i="41" s="1"/>
  <c r="F15" i="38"/>
  <c r="E15" i="38"/>
  <c r="D15" i="38"/>
  <c r="BD16" i="41" s="1"/>
  <c r="C15" i="38"/>
  <c r="BC16" i="41" s="1"/>
  <c r="M14" i="38"/>
  <c r="BM15" i="41" s="1"/>
  <c r="L14" i="38"/>
  <c r="BL15" i="41" s="1"/>
  <c r="J14" i="38"/>
  <c r="BJ15" i="41" s="1"/>
  <c r="I14" i="38"/>
  <c r="BI15" i="41" s="1"/>
  <c r="G14" i="38"/>
  <c r="F14" i="38"/>
  <c r="BF15" i="41" s="1"/>
  <c r="D14" i="38"/>
  <c r="BD15" i="41" s="1"/>
  <c r="C14" i="38"/>
  <c r="M13" i="38"/>
  <c r="BM14" i="41" s="1"/>
  <c r="L13" i="38"/>
  <c r="J13" i="38"/>
  <c r="BJ14" i="41" s="1"/>
  <c r="I13" i="38"/>
  <c r="BI14" i="41" s="1"/>
  <c r="G13" i="38"/>
  <c r="BG14" i="41" s="1"/>
  <c r="F13" i="38"/>
  <c r="BF14" i="41" s="1"/>
  <c r="D13" i="38"/>
  <c r="C13" i="38"/>
  <c r="BC14" i="41" s="1"/>
  <c r="M12" i="38"/>
  <c r="L12" i="38"/>
  <c r="BL13" i="41" s="1"/>
  <c r="J12" i="38"/>
  <c r="BJ13" i="41" s="1"/>
  <c r="I12" i="38"/>
  <c r="G12" i="38"/>
  <c r="BG13" i="41" s="1"/>
  <c r="F12" i="38"/>
  <c r="BF13" i="41" s="1"/>
  <c r="D12" i="38"/>
  <c r="BD13" i="41" s="1"/>
  <c r="C12" i="38"/>
  <c r="BC13" i="41" s="1"/>
  <c r="M11" i="38"/>
  <c r="L11" i="38"/>
  <c r="BL12" i="41" s="1"/>
  <c r="J11" i="38"/>
  <c r="BJ12" i="41" s="1"/>
  <c r="I11" i="38"/>
  <c r="G11" i="38"/>
  <c r="BG12" i="41" s="1"/>
  <c r="F11" i="38"/>
  <c r="E11" i="38"/>
  <c r="Q12" i="38" s="1"/>
  <c r="D11" i="38"/>
  <c r="BD12" i="41" s="1"/>
  <c r="C11" i="38"/>
  <c r="BC12" i="41" s="1"/>
  <c r="M10" i="38"/>
  <c r="BM11" i="41" s="1"/>
  <c r="L10" i="38"/>
  <c r="BL11" i="41" s="1"/>
  <c r="J10" i="38"/>
  <c r="I10" i="38"/>
  <c r="BI11" i="41" s="1"/>
  <c r="G10" i="38"/>
  <c r="F10" i="38"/>
  <c r="BF11" i="41" s="1"/>
  <c r="D10" i="38"/>
  <c r="BD11" i="41" s="1"/>
  <c r="C10" i="38"/>
  <c r="M9" i="38"/>
  <c r="BM10" i="41" s="1"/>
  <c r="L9" i="38"/>
  <c r="K9" i="38"/>
  <c r="J9" i="38"/>
  <c r="BJ10" i="41" s="1"/>
  <c r="I9" i="38"/>
  <c r="BI10" i="41" s="1"/>
  <c r="G9" i="38"/>
  <c r="BG10" i="41" s="1"/>
  <c r="F9" i="38"/>
  <c r="BF10" i="41" s="1"/>
  <c r="D9" i="38"/>
  <c r="C9" i="38"/>
  <c r="BC10" i="41" s="1"/>
  <c r="M8" i="38"/>
  <c r="L8" i="38"/>
  <c r="BL9" i="41" s="1"/>
  <c r="J8" i="38"/>
  <c r="BJ9" i="41" s="1"/>
  <c r="I8" i="38"/>
  <c r="H8" i="38"/>
  <c r="BH9" i="41" s="1"/>
  <c r="G8" i="38"/>
  <c r="BG9" i="41" s="1"/>
  <c r="F8" i="38"/>
  <c r="BF9" i="41" s="1"/>
  <c r="D8" i="38"/>
  <c r="BD9" i="41" s="1"/>
  <c r="C8" i="38"/>
  <c r="BC9" i="41" s="1"/>
  <c r="M7" i="38"/>
  <c r="BM8" i="41" s="1"/>
  <c r="L7" i="38"/>
  <c r="BL8" i="41" s="1"/>
  <c r="J7" i="38"/>
  <c r="BJ8" i="41" s="1"/>
  <c r="I7" i="38"/>
  <c r="G7" i="38"/>
  <c r="H7" i="38" s="1"/>
  <c r="BH8" i="41" s="1"/>
  <c r="F7" i="38"/>
  <c r="BF8" i="41" s="1"/>
  <c r="E7" i="38"/>
  <c r="D7" i="38"/>
  <c r="BD8" i="41" s="1"/>
  <c r="C7" i="38"/>
  <c r="BC8" i="41" s="1"/>
  <c r="M6" i="38"/>
  <c r="L6" i="38"/>
  <c r="BL7" i="41" s="1"/>
  <c r="J6" i="38"/>
  <c r="BJ7" i="41" s="1"/>
  <c r="I6" i="38"/>
  <c r="H6" i="38"/>
  <c r="G6" i="38"/>
  <c r="BG7" i="41" s="1"/>
  <c r="F6" i="38"/>
  <c r="BF7" i="41" s="1"/>
  <c r="D6" i="38"/>
  <c r="BD7" i="41" s="1"/>
  <c r="C6" i="38"/>
  <c r="BC7" i="41" s="1"/>
  <c r="M5" i="38"/>
  <c r="L5" i="38"/>
  <c r="BL6" i="41" s="1"/>
  <c r="J5" i="38"/>
  <c r="I5" i="38"/>
  <c r="G5" i="38"/>
  <c r="BG6" i="41" s="1"/>
  <c r="F5" i="38"/>
  <c r="E5" i="38"/>
  <c r="D5" i="38"/>
  <c r="BD6" i="41" s="1"/>
  <c r="C5" i="38"/>
  <c r="BC6" i="41" s="1"/>
  <c r="F16" i="37"/>
  <c r="E16" i="37"/>
  <c r="D16" i="37"/>
  <c r="C16" i="37"/>
  <c r="G15" i="37"/>
  <c r="G14" i="37"/>
  <c r="G13" i="37"/>
  <c r="G12" i="37"/>
  <c r="G11" i="37"/>
  <c r="G10" i="37"/>
  <c r="G9" i="37"/>
  <c r="G8" i="37"/>
  <c r="G7" i="37"/>
  <c r="G6" i="37"/>
  <c r="G5" i="37"/>
  <c r="G4" i="37"/>
  <c r="F16" i="16"/>
  <c r="E16" i="16"/>
  <c r="D16" i="16"/>
  <c r="C16" i="16"/>
  <c r="G15" i="16"/>
  <c r="G14" i="16"/>
  <c r="G13" i="16"/>
  <c r="G12" i="16"/>
  <c r="G11" i="16"/>
  <c r="G10" i="16"/>
  <c r="G9" i="16"/>
  <c r="G8" i="16"/>
  <c r="G7" i="16"/>
  <c r="G6" i="16"/>
  <c r="G5" i="16"/>
  <c r="G4" i="16"/>
  <c r="M17" i="36"/>
  <c r="L17" i="36"/>
  <c r="AY17" i="41" s="1"/>
  <c r="J17" i="36"/>
  <c r="AW17" i="41" s="1"/>
  <c r="I17" i="36"/>
  <c r="G17" i="36"/>
  <c r="AT17" i="41" s="1"/>
  <c r="F17" i="36"/>
  <c r="AS17" i="41" s="1"/>
  <c r="D17" i="36"/>
  <c r="AQ17" i="41" s="1"/>
  <c r="C17" i="36"/>
  <c r="AP17" i="41" s="1"/>
  <c r="M16" i="36"/>
  <c r="AZ16" i="41" s="1"/>
  <c r="L16" i="36"/>
  <c r="AY16" i="41" s="1"/>
  <c r="J16" i="36"/>
  <c r="AW16" i="41" s="1"/>
  <c r="I16" i="36"/>
  <c r="AV16" i="41" s="1"/>
  <c r="G16" i="36"/>
  <c r="AT16" i="41" s="1"/>
  <c r="F16" i="36"/>
  <c r="E16" i="36"/>
  <c r="AR16" i="41" s="1"/>
  <c r="D16" i="36"/>
  <c r="AQ16" i="41" s="1"/>
  <c r="C16" i="36"/>
  <c r="AP16" i="41" s="1"/>
  <c r="M15" i="36"/>
  <c r="AZ15" i="41" s="1"/>
  <c r="L15" i="36"/>
  <c r="AY15" i="41" s="1"/>
  <c r="J15" i="36"/>
  <c r="AW15" i="41" s="1"/>
  <c r="I15" i="36"/>
  <c r="AV15" i="41" s="1"/>
  <c r="G15" i="36"/>
  <c r="F15" i="36"/>
  <c r="AS15" i="41" s="1"/>
  <c r="D15" i="36"/>
  <c r="AQ15" i="41" s="1"/>
  <c r="C15" i="36"/>
  <c r="M14" i="36"/>
  <c r="AZ14" i="41" s="1"/>
  <c r="L14" i="36"/>
  <c r="J14" i="36"/>
  <c r="AW14" i="41" s="1"/>
  <c r="I14" i="36"/>
  <c r="AV14" i="41" s="1"/>
  <c r="G14" i="36"/>
  <c r="AT14" i="41" s="1"/>
  <c r="F14" i="36"/>
  <c r="AS14" i="41" s="1"/>
  <c r="D14" i="36"/>
  <c r="C14" i="36"/>
  <c r="AP14" i="41" s="1"/>
  <c r="M13" i="36"/>
  <c r="L13" i="36"/>
  <c r="AY13" i="41" s="1"/>
  <c r="J13" i="36"/>
  <c r="AW13" i="41" s="1"/>
  <c r="I13" i="36"/>
  <c r="G13" i="36"/>
  <c r="AT13" i="41" s="1"/>
  <c r="F13" i="36"/>
  <c r="AS13" i="41" s="1"/>
  <c r="D13" i="36"/>
  <c r="AQ13" i="41" s="1"/>
  <c r="C13" i="36"/>
  <c r="AP13" i="41" s="1"/>
  <c r="M12" i="36"/>
  <c r="AZ12" i="41" s="1"/>
  <c r="L12" i="36"/>
  <c r="AY12" i="41" s="1"/>
  <c r="J12" i="36"/>
  <c r="AW12" i="41" s="1"/>
  <c r="I12" i="36"/>
  <c r="AV12" i="41" s="1"/>
  <c r="G12" i="36"/>
  <c r="AT12" i="41" s="1"/>
  <c r="F12" i="36"/>
  <c r="D12" i="36"/>
  <c r="AQ12" i="41" s="1"/>
  <c r="C12" i="36"/>
  <c r="AP12" i="41" s="1"/>
  <c r="N11" i="36"/>
  <c r="BA11" i="41" s="1"/>
  <c r="M11" i="36"/>
  <c r="AZ11" i="41" s="1"/>
  <c r="L11" i="36"/>
  <c r="AY11" i="41" s="1"/>
  <c r="J11" i="36"/>
  <c r="AW11" i="41" s="1"/>
  <c r="I11" i="36"/>
  <c r="AV11" i="41" s="1"/>
  <c r="G11" i="36"/>
  <c r="F11" i="36"/>
  <c r="AS11" i="41" s="1"/>
  <c r="D11" i="36"/>
  <c r="AQ11" i="41" s="1"/>
  <c r="C11" i="36"/>
  <c r="M10" i="36"/>
  <c r="AZ10" i="41" s="1"/>
  <c r="L10" i="36"/>
  <c r="J10" i="36"/>
  <c r="AW10" i="41" s="1"/>
  <c r="I10" i="36"/>
  <c r="AV10" i="41" s="1"/>
  <c r="G10" i="36"/>
  <c r="AT10" i="41" s="1"/>
  <c r="F10" i="36"/>
  <c r="AS10" i="41" s="1"/>
  <c r="D10" i="36"/>
  <c r="C10" i="36"/>
  <c r="AP10" i="41" s="1"/>
  <c r="M9" i="36"/>
  <c r="L9" i="36"/>
  <c r="AY9" i="41" s="1"/>
  <c r="J9" i="36"/>
  <c r="AW9" i="41" s="1"/>
  <c r="I9" i="36"/>
  <c r="H9" i="36"/>
  <c r="AU9" i="41" s="1"/>
  <c r="G9" i="36"/>
  <c r="AT9" i="41" s="1"/>
  <c r="F9" i="36"/>
  <c r="AS9" i="41" s="1"/>
  <c r="D9" i="36"/>
  <c r="AQ9" i="41" s="1"/>
  <c r="C9" i="36"/>
  <c r="AP9" i="41" s="1"/>
  <c r="M8" i="36"/>
  <c r="AZ8" i="41" s="1"/>
  <c r="L8" i="36"/>
  <c r="AY8" i="41" s="1"/>
  <c r="J8" i="36"/>
  <c r="AW8" i="41" s="1"/>
  <c r="I8" i="36"/>
  <c r="AV8" i="41" s="1"/>
  <c r="G8" i="36"/>
  <c r="AT8" i="41" s="1"/>
  <c r="F8" i="36"/>
  <c r="E8" i="36"/>
  <c r="AR8" i="41" s="1"/>
  <c r="D8" i="36"/>
  <c r="AQ8" i="41" s="1"/>
  <c r="C8" i="36"/>
  <c r="AP8" i="41" s="1"/>
  <c r="M7" i="36"/>
  <c r="AZ7" i="41" s="1"/>
  <c r="L7" i="36"/>
  <c r="AY7" i="41" s="1"/>
  <c r="K7" i="36"/>
  <c r="J7" i="36"/>
  <c r="AW7" i="41" s="1"/>
  <c r="I7" i="36"/>
  <c r="AV7" i="41" s="1"/>
  <c r="G7" i="36"/>
  <c r="F7" i="36"/>
  <c r="AS7" i="41" s="1"/>
  <c r="D7" i="36"/>
  <c r="AQ7" i="41" s="1"/>
  <c r="C7" i="36"/>
  <c r="M6" i="36"/>
  <c r="AZ6" i="41" s="1"/>
  <c r="L6" i="36"/>
  <c r="J6" i="36"/>
  <c r="AW6" i="41" s="1"/>
  <c r="I6" i="36"/>
  <c r="AV6" i="41" s="1"/>
  <c r="G6" i="36"/>
  <c r="AT6" i="41" s="1"/>
  <c r="F6" i="36"/>
  <c r="AS6" i="41" s="1"/>
  <c r="D6" i="36"/>
  <c r="C6" i="36"/>
  <c r="AP6" i="41" s="1"/>
  <c r="F16" i="35"/>
  <c r="E16" i="35"/>
  <c r="D16" i="35"/>
  <c r="C16" i="35"/>
  <c r="G15" i="35"/>
  <c r="G14" i="35"/>
  <c r="G13" i="35"/>
  <c r="G12" i="35"/>
  <c r="G11" i="35"/>
  <c r="G10" i="35"/>
  <c r="G9" i="35"/>
  <c r="G8" i="35"/>
  <c r="G7" i="35"/>
  <c r="G6" i="35"/>
  <c r="G5" i="35"/>
  <c r="G4" i="35"/>
  <c r="F16" i="15"/>
  <c r="E16" i="15"/>
  <c r="D16" i="15"/>
  <c r="C16" i="15"/>
  <c r="G15" i="15"/>
  <c r="G14" i="15"/>
  <c r="G13" i="15"/>
  <c r="G12" i="15"/>
  <c r="G11" i="15"/>
  <c r="G10" i="15"/>
  <c r="G9" i="15"/>
  <c r="G8" i="15"/>
  <c r="G7" i="15"/>
  <c r="G6" i="15"/>
  <c r="G5" i="15"/>
  <c r="G4" i="15"/>
  <c r="M16" i="34"/>
  <c r="L16" i="34"/>
  <c r="AL17" i="41" s="1"/>
  <c r="J16" i="34"/>
  <c r="AJ17" i="41" s="1"/>
  <c r="I16" i="34"/>
  <c r="G16" i="34"/>
  <c r="AG17" i="41" s="1"/>
  <c r="F16" i="34"/>
  <c r="AF17" i="41" s="1"/>
  <c r="D16" i="34"/>
  <c r="AD17" i="41" s="1"/>
  <c r="C16" i="34"/>
  <c r="AC17" i="41" s="1"/>
  <c r="M15" i="34"/>
  <c r="AM16" i="41" s="1"/>
  <c r="L15" i="34"/>
  <c r="AL16" i="41" s="1"/>
  <c r="J15" i="34"/>
  <c r="AJ16" i="41" s="1"/>
  <c r="I15" i="34"/>
  <c r="AI16" i="41" s="1"/>
  <c r="G15" i="34"/>
  <c r="AG16" i="41" s="1"/>
  <c r="F15" i="34"/>
  <c r="D15" i="34"/>
  <c r="AD16" i="41" s="1"/>
  <c r="C15" i="34"/>
  <c r="AC16" i="41" s="1"/>
  <c r="M14" i="34"/>
  <c r="AM15" i="41" s="1"/>
  <c r="L14" i="34"/>
  <c r="AL15" i="41" s="1"/>
  <c r="J14" i="34"/>
  <c r="AJ15" i="41" s="1"/>
  <c r="I14" i="34"/>
  <c r="AI15" i="41" s="1"/>
  <c r="G14" i="34"/>
  <c r="F14" i="34"/>
  <c r="AF15" i="41" s="1"/>
  <c r="D14" i="34"/>
  <c r="AD15" i="41" s="1"/>
  <c r="C14" i="34"/>
  <c r="M13" i="34"/>
  <c r="AM14" i="41" s="1"/>
  <c r="L13" i="34"/>
  <c r="AL14" i="41" s="1"/>
  <c r="J13" i="34"/>
  <c r="AJ14" i="41" s="1"/>
  <c r="I13" i="34"/>
  <c r="AI14" i="41" s="1"/>
  <c r="G13" i="34"/>
  <c r="AG14" i="41" s="1"/>
  <c r="F13" i="34"/>
  <c r="AF14" i="41" s="1"/>
  <c r="D13" i="34"/>
  <c r="C13" i="34"/>
  <c r="AC14" i="41" s="1"/>
  <c r="M12" i="34"/>
  <c r="L12" i="34"/>
  <c r="AL13" i="41" s="1"/>
  <c r="J12" i="34"/>
  <c r="AJ13" i="41" s="1"/>
  <c r="I12" i="34"/>
  <c r="G12" i="34"/>
  <c r="AG13" i="41" s="1"/>
  <c r="F12" i="34"/>
  <c r="AF13" i="41" s="1"/>
  <c r="D12" i="34"/>
  <c r="AD13" i="41" s="1"/>
  <c r="C12" i="34"/>
  <c r="AC13" i="41" s="1"/>
  <c r="M11" i="34"/>
  <c r="AM12" i="41" s="1"/>
  <c r="L11" i="34"/>
  <c r="AL12" i="41" s="1"/>
  <c r="J11" i="34"/>
  <c r="AJ12" i="41" s="1"/>
  <c r="I11" i="34"/>
  <c r="AI12" i="41" s="1"/>
  <c r="G11" i="34"/>
  <c r="AG12" i="41" s="1"/>
  <c r="F11" i="34"/>
  <c r="AF12" i="41" s="1"/>
  <c r="D11" i="34"/>
  <c r="AD12" i="41" s="1"/>
  <c r="C11" i="34"/>
  <c r="AC12" i="41" s="1"/>
  <c r="M10" i="34"/>
  <c r="AM11" i="41" s="1"/>
  <c r="L10" i="34"/>
  <c r="AL11" i="41" s="1"/>
  <c r="J10" i="34"/>
  <c r="AJ11" i="41" s="1"/>
  <c r="I10" i="34"/>
  <c r="AI11" i="41" s="1"/>
  <c r="G10" i="34"/>
  <c r="F10" i="34"/>
  <c r="AF11" i="41" s="1"/>
  <c r="D10" i="34"/>
  <c r="AD11" i="41" s="1"/>
  <c r="C10" i="34"/>
  <c r="AC11" i="41" s="1"/>
  <c r="M9" i="34"/>
  <c r="AM10" i="41" s="1"/>
  <c r="L9" i="34"/>
  <c r="AL10" i="41" s="1"/>
  <c r="J9" i="34"/>
  <c r="AJ10" i="41" s="1"/>
  <c r="I9" i="34"/>
  <c r="AI10" i="41" s="1"/>
  <c r="G9" i="34"/>
  <c r="AG10" i="41" s="1"/>
  <c r="F9" i="34"/>
  <c r="AF10" i="41" s="1"/>
  <c r="D9" i="34"/>
  <c r="C9" i="34"/>
  <c r="AC10" i="41" s="1"/>
  <c r="M8" i="34"/>
  <c r="L8" i="34"/>
  <c r="AL9" i="41" s="1"/>
  <c r="J8" i="34"/>
  <c r="AJ9" i="41" s="1"/>
  <c r="I8" i="34"/>
  <c r="G8" i="34"/>
  <c r="AG9" i="41" s="1"/>
  <c r="F8" i="34"/>
  <c r="AF9" i="41" s="1"/>
  <c r="D8" i="34"/>
  <c r="AD9" i="41" s="1"/>
  <c r="C8" i="34"/>
  <c r="AC9" i="41" s="1"/>
  <c r="M7" i="34"/>
  <c r="AM8" i="41" s="1"/>
  <c r="L7" i="34"/>
  <c r="AL8" i="41" s="1"/>
  <c r="J7" i="34"/>
  <c r="AJ8" i="41" s="1"/>
  <c r="I7" i="34"/>
  <c r="AI8" i="41" s="1"/>
  <c r="G7" i="34"/>
  <c r="AG8" i="41" s="1"/>
  <c r="F7" i="34"/>
  <c r="AF8" i="41" s="1"/>
  <c r="D7" i="34"/>
  <c r="AD8" i="41" s="1"/>
  <c r="C7" i="34"/>
  <c r="AC8" i="41" s="1"/>
  <c r="M6" i="34"/>
  <c r="AM7" i="41" s="1"/>
  <c r="L6" i="34"/>
  <c r="AL7" i="41" s="1"/>
  <c r="J6" i="34"/>
  <c r="AJ7" i="41" s="1"/>
  <c r="I6" i="34"/>
  <c r="AI7" i="41" s="1"/>
  <c r="G6" i="34"/>
  <c r="F6" i="34"/>
  <c r="AF7" i="41" s="1"/>
  <c r="D6" i="34"/>
  <c r="AD7" i="41" s="1"/>
  <c r="C6" i="34"/>
  <c r="AC7" i="41" s="1"/>
  <c r="M5" i="34"/>
  <c r="AM6" i="41" s="1"/>
  <c r="L5" i="34"/>
  <c r="AL6" i="41" s="1"/>
  <c r="J5" i="34"/>
  <c r="AJ6" i="41" s="1"/>
  <c r="I5" i="34"/>
  <c r="AI6" i="41" s="1"/>
  <c r="G5" i="34"/>
  <c r="F5" i="34"/>
  <c r="AF6" i="41" s="1"/>
  <c r="D5" i="34"/>
  <c r="AD6" i="41" s="1"/>
  <c r="C5" i="34"/>
  <c r="F16" i="33"/>
  <c r="E16" i="33"/>
  <c r="D16" i="33"/>
  <c r="C16" i="33"/>
  <c r="G15" i="33"/>
  <c r="G14" i="33"/>
  <c r="G13" i="33"/>
  <c r="G12" i="33"/>
  <c r="G11" i="33"/>
  <c r="G10" i="33"/>
  <c r="G9" i="33"/>
  <c r="G8" i="33"/>
  <c r="G7" i="33"/>
  <c r="G6" i="33"/>
  <c r="G5" i="33"/>
  <c r="G4" i="33"/>
  <c r="F16" i="14"/>
  <c r="E16" i="14"/>
  <c r="D16" i="14"/>
  <c r="C16" i="14"/>
  <c r="G15" i="14"/>
  <c r="G14" i="14"/>
  <c r="G13" i="14"/>
  <c r="G12" i="14"/>
  <c r="G11" i="14"/>
  <c r="G10" i="14"/>
  <c r="G9" i="14"/>
  <c r="G8" i="14"/>
  <c r="G7" i="14"/>
  <c r="G6" i="14"/>
  <c r="G5" i="14"/>
  <c r="G4" i="14"/>
  <c r="M16" i="32"/>
  <c r="Z17" i="41" s="1"/>
  <c r="L16" i="32"/>
  <c r="Y17" i="41" s="1"/>
  <c r="J16" i="32"/>
  <c r="W17" i="41" s="1"/>
  <c r="I16" i="32"/>
  <c r="V17" i="41" s="1"/>
  <c r="G16" i="32"/>
  <c r="T17" i="41" s="1"/>
  <c r="F16" i="32"/>
  <c r="S17" i="41" s="1"/>
  <c r="D16" i="32"/>
  <c r="C16" i="32"/>
  <c r="P17" i="41" s="1"/>
  <c r="M15" i="32"/>
  <c r="L15" i="32"/>
  <c r="Y16" i="41" s="1"/>
  <c r="J15" i="32"/>
  <c r="W16" i="41" s="1"/>
  <c r="I15" i="32"/>
  <c r="G15" i="32"/>
  <c r="T16" i="41" s="1"/>
  <c r="F15" i="32"/>
  <c r="S16" i="41" s="1"/>
  <c r="D15" i="32"/>
  <c r="Q16" i="41" s="1"/>
  <c r="C15" i="32"/>
  <c r="P16" i="41" s="1"/>
  <c r="M14" i="32"/>
  <c r="Z15" i="41" s="1"/>
  <c r="L14" i="32"/>
  <c r="Y15" i="41" s="1"/>
  <c r="J14" i="32"/>
  <c r="W15" i="41" s="1"/>
  <c r="I14" i="32"/>
  <c r="V15" i="41" s="1"/>
  <c r="G14" i="32"/>
  <c r="T15" i="41" s="1"/>
  <c r="F14" i="32"/>
  <c r="S15" i="41" s="1"/>
  <c r="E14" i="32"/>
  <c r="R15" i="41" s="1"/>
  <c r="D14" i="32"/>
  <c r="Q15" i="41" s="1"/>
  <c r="C14" i="32"/>
  <c r="P15" i="41" s="1"/>
  <c r="M13" i="32"/>
  <c r="Z14" i="41" s="1"/>
  <c r="L13" i="32"/>
  <c r="Y14" i="41" s="1"/>
  <c r="J13" i="32"/>
  <c r="W14" i="41" s="1"/>
  <c r="I13" i="32"/>
  <c r="V14" i="41" s="1"/>
  <c r="G13" i="32"/>
  <c r="F13" i="32"/>
  <c r="S14" i="41" s="1"/>
  <c r="D13" i="32"/>
  <c r="Q14" i="41" s="1"/>
  <c r="C13" i="32"/>
  <c r="P14" i="41" s="1"/>
  <c r="M12" i="32"/>
  <c r="Z13" i="41" s="1"/>
  <c r="L12" i="32"/>
  <c r="Y13" i="41" s="1"/>
  <c r="J12" i="32"/>
  <c r="W13" i="41" s="1"/>
  <c r="I12" i="32"/>
  <c r="V13" i="41" s="1"/>
  <c r="G12" i="32"/>
  <c r="T13" i="41" s="1"/>
  <c r="F12" i="32"/>
  <c r="S13" i="41" s="1"/>
  <c r="D12" i="32"/>
  <c r="C12" i="32"/>
  <c r="P13" i="41" s="1"/>
  <c r="M11" i="32"/>
  <c r="L11" i="32"/>
  <c r="Y12" i="41" s="1"/>
  <c r="J11" i="32"/>
  <c r="W12" i="41" s="1"/>
  <c r="I11" i="32"/>
  <c r="G11" i="32"/>
  <c r="T12" i="41" s="1"/>
  <c r="F11" i="32"/>
  <c r="S12" i="41" s="1"/>
  <c r="D11" i="32"/>
  <c r="Q12" i="41" s="1"/>
  <c r="C11" i="32"/>
  <c r="P12" i="41" s="1"/>
  <c r="M10" i="32"/>
  <c r="Z11" i="41" s="1"/>
  <c r="L10" i="32"/>
  <c r="Y11" i="41" s="1"/>
  <c r="J10" i="32"/>
  <c r="W11" i="41" s="1"/>
  <c r="I10" i="32"/>
  <c r="G10" i="32"/>
  <c r="T11" i="41" s="1"/>
  <c r="F10" i="32"/>
  <c r="S11" i="41" s="1"/>
  <c r="D10" i="32"/>
  <c r="Q11" i="41" s="1"/>
  <c r="C10" i="32"/>
  <c r="P11" i="41" s="1"/>
  <c r="M9" i="32"/>
  <c r="Z10" i="41" s="1"/>
  <c r="L9" i="32"/>
  <c r="Y10" i="41" s="1"/>
  <c r="J9" i="32"/>
  <c r="W10" i="41" s="1"/>
  <c r="I9" i="32"/>
  <c r="V10" i="41" s="1"/>
  <c r="G9" i="32"/>
  <c r="F9" i="32"/>
  <c r="S10" i="41" s="1"/>
  <c r="D9" i="32"/>
  <c r="Q10" i="41" s="1"/>
  <c r="C9" i="32"/>
  <c r="P10" i="41" s="1"/>
  <c r="M8" i="32"/>
  <c r="Z9" i="41" s="1"/>
  <c r="L8" i="32"/>
  <c r="Y9" i="41" s="1"/>
  <c r="J8" i="32"/>
  <c r="W9" i="41" s="1"/>
  <c r="I8" i="32"/>
  <c r="V9" i="41" s="1"/>
  <c r="G8" i="32"/>
  <c r="T9" i="41" s="1"/>
  <c r="F8" i="32"/>
  <c r="S9" i="41" s="1"/>
  <c r="D8" i="32"/>
  <c r="C8" i="32"/>
  <c r="P9" i="41" s="1"/>
  <c r="M7" i="32"/>
  <c r="L7" i="32"/>
  <c r="Y8" i="41" s="1"/>
  <c r="J7" i="32"/>
  <c r="W8" i="41" s="1"/>
  <c r="I7" i="32"/>
  <c r="G7" i="32"/>
  <c r="T8" i="41" s="1"/>
  <c r="F7" i="32"/>
  <c r="S8" i="41" s="1"/>
  <c r="D7" i="32"/>
  <c r="Q8" i="41" s="1"/>
  <c r="C7" i="32"/>
  <c r="P8" i="41" s="1"/>
  <c r="M6" i="32"/>
  <c r="Z7" i="41" s="1"/>
  <c r="L6" i="32"/>
  <c r="Y7" i="41" s="1"/>
  <c r="J6" i="32"/>
  <c r="W7" i="41" s="1"/>
  <c r="I6" i="32"/>
  <c r="G6" i="32"/>
  <c r="T7" i="41" s="1"/>
  <c r="F6" i="32"/>
  <c r="S7" i="41" s="1"/>
  <c r="D6" i="32"/>
  <c r="Q7" i="41" s="1"/>
  <c r="C6" i="32"/>
  <c r="P7" i="41" s="1"/>
  <c r="M5" i="32"/>
  <c r="L5" i="32"/>
  <c r="Y6" i="41" s="1"/>
  <c r="J5" i="32"/>
  <c r="I5" i="32"/>
  <c r="G5" i="32"/>
  <c r="T6" i="41" s="1"/>
  <c r="F5" i="32"/>
  <c r="D5" i="32"/>
  <c r="Q6" i="41" s="1"/>
  <c r="C5" i="32"/>
  <c r="P6" i="41" s="1"/>
  <c r="F16" i="31"/>
  <c r="E16" i="31"/>
  <c r="D16" i="31"/>
  <c r="C16" i="31"/>
  <c r="G15" i="31"/>
  <c r="G14" i="31"/>
  <c r="G13" i="31"/>
  <c r="G12" i="31"/>
  <c r="G11" i="31"/>
  <c r="G10" i="31"/>
  <c r="G9" i="31"/>
  <c r="G8" i="31"/>
  <c r="G7" i="31"/>
  <c r="G6" i="31"/>
  <c r="G5" i="31"/>
  <c r="G4" i="31"/>
  <c r="G16" i="31" s="1"/>
  <c r="F16" i="13"/>
  <c r="E16" i="13"/>
  <c r="D16" i="13"/>
  <c r="C16" i="13"/>
  <c r="G15" i="13"/>
  <c r="G14" i="13"/>
  <c r="G13" i="13"/>
  <c r="G12" i="13"/>
  <c r="G11" i="13"/>
  <c r="G10" i="13"/>
  <c r="G9" i="13"/>
  <c r="G8" i="13"/>
  <c r="G7" i="13"/>
  <c r="G6" i="13"/>
  <c r="G5" i="13"/>
  <c r="G4" i="13"/>
  <c r="M16" i="30"/>
  <c r="M17" i="41" s="1"/>
  <c r="L16" i="30"/>
  <c r="L17" i="41" s="1"/>
  <c r="J16" i="30"/>
  <c r="J17" i="41" s="1"/>
  <c r="I16" i="30"/>
  <c r="I17" i="41" s="1"/>
  <c r="G16" i="30"/>
  <c r="G17" i="41" s="1"/>
  <c r="F16" i="30"/>
  <c r="F17" i="41" s="1"/>
  <c r="D16" i="30"/>
  <c r="C16" i="30"/>
  <c r="C17" i="41" s="1"/>
  <c r="M15" i="30"/>
  <c r="L15" i="30"/>
  <c r="L16" i="41" s="1"/>
  <c r="J15" i="30"/>
  <c r="J16" i="41" s="1"/>
  <c r="I15" i="30"/>
  <c r="I16" i="41" s="1"/>
  <c r="G15" i="30"/>
  <c r="G16" i="41" s="1"/>
  <c r="F15" i="30"/>
  <c r="F16" i="41" s="1"/>
  <c r="D15" i="30"/>
  <c r="D16" i="41" s="1"/>
  <c r="C15" i="30"/>
  <c r="C16" i="41" s="1"/>
  <c r="M14" i="30"/>
  <c r="M15" i="41" s="1"/>
  <c r="L14" i="30"/>
  <c r="L15" i="41" s="1"/>
  <c r="J14" i="30"/>
  <c r="J15" i="41" s="1"/>
  <c r="I14" i="30"/>
  <c r="I15" i="41" s="1"/>
  <c r="G14" i="30"/>
  <c r="G15" i="41" s="1"/>
  <c r="F14" i="30"/>
  <c r="F15" i="41" s="1"/>
  <c r="D14" i="30"/>
  <c r="D15" i="41" s="1"/>
  <c r="C14" i="30"/>
  <c r="C15" i="41" s="1"/>
  <c r="M13" i="30"/>
  <c r="M14" i="41" s="1"/>
  <c r="L13" i="30"/>
  <c r="L14" i="41" s="1"/>
  <c r="J13" i="30"/>
  <c r="J14" i="41" s="1"/>
  <c r="I13" i="30"/>
  <c r="I14" i="41" s="1"/>
  <c r="G13" i="30"/>
  <c r="G14" i="41" s="1"/>
  <c r="F13" i="30"/>
  <c r="F14" i="41" s="1"/>
  <c r="D13" i="30"/>
  <c r="D14" i="41" s="1"/>
  <c r="C13" i="30"/>
  <c r="C14" i="41" s="1"/>
  <c r="M12" i="30"/>
  <c r="M13" i="41" s="1"/>
  <c r="L12" i="30"/>
  <c r="L13" i="41" s="1"/>
  <c r="J12" i="30"/>
  <c r="J13" i="41" s="1"/>
  <c r="I12" i="30"/>
  <c r="I13" i="41" s="1"/>
  <c r="G12" i="30"/>
  <c r="G13" i="41" s="1"/>
  <c r="F12" i="30"/>
  <c r="F13" i="41" s="1"/>
  <c r="E12" i="30"/>
  <c r="E13" i="41" s="1"/>
  <c r="D12" i="30"/>
  <c r="D13" i="41" s="1"/>
  <c r="C12" i="30"/>
  <c r="C13" i="41" s="1"/>
  <c r="N11" i="30"/>
  <c r="N12" i="41" s="1"/>
  <c r="M11" i="30"/>
  <c r="M12" i="41" s="1"/>
  <c r="L11" i="30"/>
  <c r="L12" i="41" s="1"/>
  <c r="J11" i="30"/>
  <c r="J12" i="41" s="1"/>
  <c r="I11" i="30"/>
  <c r="I12" i="41" s="1"/>
  <c r="G11" i="30"/>
  <c r="G12" i="41" s="1"/>
  <c r="F11" i="30"/>
  <c r="F12" i="41" s="1"/>
  <c r="D11" i="30"/>
  <c r="D12" i="41" s="1"/>
  <c r="C11" i="30"/>
  <c r="C12" i="41" s="1"/>
  <c r="M10" i="30"/>
  <c r="M11" i="41" s="1"/>
  <c r="L10" i="30"/>
  <c r="L11" i="41" s="1"/>
  <c r="J10" i="30"/>
  <c r="J11" i="41" s="1"/>
  <c r="I10" i="30"/>
  <c r="I11" i="41" s="1"/>
  <c r="G10" i="30"/>
  <c r="G11" i="41" s="1"/>
  <c r="F10" i="30"/>
  <c r="F11" i="41" s="1"/>
  <c r="D10" i="30"/>
  <c r="D11" i="41" s="1"/>
  <c r="C10" i="30"/>
  <c r="C11" i="41" s="1"/>
  <c r="M9" i="30"/>
  <c r="M10" i="41" s="1"/>
  <c r="L9" i="30"/>
  <c r="L10" i="41" s="1"/>
  <c r="J9" i="30"/>
  <c r="J10" i="41" s="1"/>
  <c r="I9" i="30"/>
  <c r="I10" i="41" s="1"/>
  <c r="G9" i="30"/>
  <c r="G10" i="41" s="1"/>
  <c r="F9" i="30"/>
  <c r="F10" i="41" s="1"/>
  <c r="D9" i="30"/>
  <c r="D10" i="41" s="1"/>
  <c r="C9" i="30"/>
  <c r="C10" i="41" s="1"/>
  <c r="N8" i="30"/>
  <c r="N9" i="41" s="1"/>
  <c r="M8" i="30"/>
  <c r="M9" i="41" s="1"/>
  <c r="L8" i="30"/>
  <c r="L9" i="41" s="1"/>
  <c r="J8" i="30"/>
  <c r="J9" i="41" s="1"/>
  <c r="I8" i="30"/>
  <c r="I9" i="41" s="1"/>
  <c r="G8" i="30"/>
  <c r="G9" i="41" s="1"/>
  <c r="F8" i="30"/>
  <c r="F9" i="41" s="1"/>
  <c r="D8" i="30"/>
  <c r="D9" i="41" s="1"/>
  <c r="C8" i="30"/>
  <c r="C9" i="41" s="1"/>
  <c r="M7" i="30"/>
  <c r="M8" i="41" s="1"/>
  <c r="L7" i="30"/>
  <c r="L8" i="41" s="1"/>
  <c r="J7" i="30"/>
  <c r="J8" i="41" s="1"/>
  <c r="I7" i="30"/>
  <c r="I8" i="41" s="1"/>
  <c r="G7" i="30"/>
  <c r="G8" i="41" s="1"/>
  <c r="F7" i="30"/>
  <c r="F8" i="41" s="1"/>
  <c r="D7" i="30"/>
  <c r="D8" i="41" s="1"/>
  <c r="C7" i="30"/>
  <c r="C8" i="41" s="1"/>
  <c r="M6" i="30"/>
  <c r="M7" i="41" s="1"/>
  <c r="L6" i="30"/>
  <c r="L7" i="41" s="1"/>
  <c r="J6" i="30"/>
  <c r="J7" i="41" s="1"/>
  <c r="I6" i="30"/>
  <c r="I7" i="41" s="1"/>
  <c r="G6" i="30"/>
  <c r="G7" i="41" s="1"/>
  <c r="F6" i="30"/>
  <c r="F7" i="41" s="1"/>
  <c r="D6" i="30"/>
  <c r="D7" i="41" s="1"/>
  <c r="C6" i="30"/>
  <c r="C7" i="41" s="1"/>
  <c r="M5" i="30"/>
  <c r="M6" i="41" s="1"/>
  <c r="L5" i="30"/>
  <c r="J5" i="30"/>
  <c r="J6" i="41" s="1"/>
  <c r="I5" i="30"/>
  <c r="I6" i="41" s="1"/>
  <c r="G5" i="30"/>
  <c r="F5" i="30"/>
  <c r="F6" i="41" s="1"/>
  <c r="D5" i="30"/>
  <c r="C5" i="30"/>
  <c r="F16" i="29"/>
  <c r="E16" i="29"/>
  <c r="D16" i="29"/>
  <c r="C16" i="29"/>
  <c r="G15" i="29"/>
  <c r="G14" i="29"/>
  <c r="G13" i="29"/>
  <c r="G12" i="29"/>
  <c r="G11" i="29"/>
  <c r="G10" i="29"/>
  <c r="G9" i="29"/>
  <c r="G8" i="29"/>
  <c r="G7" i="29"/>
  <c r="G6" i="29"/>
  <c r="G5" i="29"/>
  <c r="G4" i="29"/>
  <c r="F16" i="4"/>
  <c r="E16" i="4"/>
  <c r="D16" i="4"/>
  <c r="C16" i="4"/>
  <c r="G15" i="4"/>
  <c r="G14" i="4"/>
  <c r="G13" i="4"/>
  <c r="G12" i="4"/>
  <c r="G11" i="4"/>
  <c r="G10" i="4"/>
  <c r="G9" i="4"/>
  <c r="G8" i="4"/>
  <c r="G7" i="4"/>
  <c r="G6" i="4"/>
  <c r="G5" i="4"/>
  <c r="G4" i="4"/>
  <c r="E16" i="38" l="1"/>
  <c r="BE17" i="41" s="1"/>
  <c r="N8" i="40"/>
  <c r="G16" i="4"/>
  <c r="G16" i="13"/>
  <c r="K10" i="36"/>
  <c r="AX10" i="41" s="1"/>
  <c r="H12" i="38"/>
  <c r="K14" i="40"/>
  <c r="BX15" i="41" s="1"/>
  <c r="N8" i="36"/>
  <c r="K14" i="36"/>
  <c r="AX14" i="41" s="1"/>
  <c r="N12" i="36"/>
  <c r="K14" i="38"/>
  <c r="H16" i="38"/>
  <c r="BH17" i="41" s="1"/>
  <c r="N16" i="36"/>
  <c r="BA16" i="41" s="1"/>
  <c r="E9" i="40"/>
  <c r="R14" i="40"/>
  <c r="N16" i="40"/>
  <c r="CA17" i="41" s="1"/>
  <c r="H9" i="30"/>
  <c r="H10" i="41" s="1"/>
  <c r="G16" i="39"/>
  <c r="K7" i="30"/>
  <c r="K8" i="41" s="1"/>
  <c r="E6" i="32"/>
  <c r="R7" i="41" s="1"/>
  <c r="H6" i="30"/>
  <c r="H7" i="41" s="1"/>
  <c r="K10" i="30"/>
  <c r="K11" i="41" s="1"/>
  <c r="H11" i="32"/>
  <c r="U12" i="41" s="1"/>
  <c r="E9" i="36"/>
  <c r="N6" i="38"/>
  <c r="N8" i="38"/>
  <c r="N10" i="38"/>
  <c r="N14" i="38"/>
  <c r="BN15" i="41" s="1"/>
  <c r="H10" i="30"/>
  <c r="H11" i="41" s="1"/>
  <c r="T12" i="30"/>
  <c r="E13" i="36"/>
  <c r="E17" i="36"/>
  <c r="R8" i="38"/>
  <c r="K7" i="40"/>
  <c r="BX8" i="41" s="1"/>
  <c r="H9" i="40"/>
  <c r="G17" i="38"/>
  <c r="K5" i="40"/>
  <c r="S6" i="40" s="1"/>
  <c r="K15" i="30"/>
  <c r="K16" i="41" s="1"/>
  <c r="K11" i="36"/>
  <c r="AX11" i="41" s="1"/>
  <c r="H13" i="36"/>
  <c r="AU13" i="41" s="1"/>
  <c r="H17" i="36"/>
  <c r="AU17" i="41" s="1"/>
  <c r="H13" i="38"/>
  <c r="N7" i="40"/>
  <c r="E9" i="30"/>
  <c r="E10" i="41" s="1"/>
  <c r="K15" i="36"/>
  <c r="AX15" i="41" s="1"/>
  <c r="K15" i="40"/>
  <c r="BG8" i="41"/>
  <c r="G58" i="41" s="1"/>
  <c r="G16" i="14"/>
  <c r="N7" i="36"/>
  <c r="T7" i="36" s="1"/>
  <c r="H5" i="38"/>
  <c r="BH6" i="41" s="1"/>
  <c r="H9" i="38"/>
  <c r="E6" i="40"/>
  <c r="BR7" i="41" s="1"/>
  <c r="N11" i="40"/>
  <c r="D18" i="36"/>
  <c r="K13" i="38"/>
  <c r="E8" i="40"/>
  <c r="Q9" i="40" s="1"/>
  <c r="N15" i="36"/>
  <c r="BA15" i="41" s="1"/>
  <c r="G16" i="16"/>
  <c r="H6" i="40"/>
  <c r="R7" i="40" s="1"/>
  <c r="E12" i="40"/>
  <c r="BR13" i="41" s="1"/>
  <c r="H6" i="36"/>
  <c r="E12" i="36"/>
  <c r="AR12" i="41" s="1"/>
  <c r="N7" i="38"/>
  <c r="N15" i="38"/>
  <c r="H10" i="40"/>
  <c r="H10" i="36"/>
  <c r="AU10" i="41" s="1"/>
  <c r="E10" i="38"/>
  <c r="E12" i="38"/>
  <c r="BE13" i="41" s="1"/>
  <c r="K6" i="40"/>
  <c r="BX7" i="41" s="1"/>
  <c r="H14" i="40"/>
  <c r="R15" i="40" s="1"/>
  <c r="K5" i="30"/>
  <c r="S6" i="30" s="1"/>
  <c r="K6" i="36"/>
  <c r="AX6" i="41" s="1"/>
  <c r="H14" i="36"/>
  <c r="AU14" i="41" s="1"/>
  <c r="E6" i="38"/>
  <c r="Q7" i="38" s="1"/>
  <c r="E8" i="38"/>
  <c r="BE9" i="41" s="1"/>
  <c r="K10" i="40"/>
  <c r="BX11" i="41" s="1"/>
  <c r="H9" i="34"/>
  <c r="AH10" i="41" s="1"/>
  <c r="N5" i="34"/>
  <c r="AN6" i="41" s="1"/>
  <c r="H6" i="34"/>
  <c r="AH7" i="41" s="1"/>
  <c r="E8" i="34"/>
  <c r="Q9" i="34" s="1"/>
  <c r="N10" i="34"/>
  <c r="AN11" i="41" s="1"/>
  <c r="E16" i="34"/>
  <c r="AE17" i="41" s="1"/>
  <c r="N7" i="34"/>
  <c r="N15" i="34"/>
  <c r="AN16" i="41" s="1"/>
  <c r="K6" i="34"/>
  <c r="H8" i="34"/>
  <c r="K9" i="34"/>
  <c r="E44" i="41"/>
  <c r="E11" i="34"/>
  <c r="AE12" i="41" s="1"/>
  <c r="K14" i="34"/>
  <c r="AK15" i="41" s="1"/>
  <c r="H16" i="34"/>
  <c r="K5" i="34"/>
  <c r="AK6" i="41" s="1"/>
  <c r="E40" i="41"/>
  <c r="E7" i="34"/>
  <c r="AE8" i="41" s="1"/>
  <c r="K10" i="34"/>
  <c r="AK11" i="41" s="1"/>
  <c r="H12" i="34"/>
  <c r="K13" i="34"/>
  <c r="AK14" i="41" s="1"/>
  <c r="E15" i="34"/>
  <c r="AE16" i="41" s="1"/>
  <c r="N6" i="34"/>
  <c r="N11" i="34"/>
  <c r="AN12" i="41" s="1"/>
  <c r="E12" i="34"/>
  <c r="AE13" i="41" s="1"/>
  <c r="H13" i="34"/>
  <c r="AH14" i="41" s="1"/>
  <c r="N14" i="34"/>
  <c r="N5" i="32"/>
  <c r="AA6" i="41" s="1"/>
  <c r="N9" i="32"/>
  <c r="AA10" i="41" s="1"/>
  <c r="K12" i="32"/>
  <c r="X13" i="41" s="1"/>
  <c r="H16" i="32"/>
  <c r="U17" i="41" s="1"/>
  <c r="H7" i="32"/>
  <c r="U8" i="41" s="1"/>
  <c r="D47" i="41"/>
  <c r="E7" i="32"/>
  <c r="R8" i="41" s="1"/>
  <c r="D42" i="41"/>
  <c r="K9" i="32"/>
  <c r="X10" i="41" s="1"/>
  <c r="E11" i="32"/>
  <c r="R12" i="41" s="1"/>
  <c r="H12" i="32"/>
  <c r="U13" i="41" s="1"/>
  <c r="N13" i="32"/>
  <c r="E5" i="32"/>
  <c r="Q6" i="32" s="1"/>
  <c r="N10" i="32"/>
  <c r="AA11" i="41" s="1"/>
  <c r="K13" i="32"/>
  <c r="X14" i="41" s="1"/>
  <c r="H15" i="32"/>
  <c r="K16" i="32"/>
  <c r="X17" i="41" s="1"/>
  <c r="K8" i="32"/>
  <c r="E10" i="32"/>
  <c r="Q11" i="32" s="1"/>
  <c r="R12" i="32"/>
  <c r="N14" i="32"/>
  <c r="T15" i="32" s="1"/>
  <c r="E15" i="32"/>
  <c r="C65" i="41"/>
  <c r="C57" i="41"/>
  <c r="G16" i="29"/>
  <c r="H5" i="30"/>
  <c r="H6" i="41" s="1"/>
  <c r="C41" i="41"/>
  <c r="E8" i="30"/>
  <c r="E9" i="41" s="1"/>
  <c r="C61" i="41"/>
  <c r="K11" i="30"/>
  <c r="K12" i="41" s="1"/>
  <c r="H13" i="30"/>
  <c r="K14" i="30"/>
  <c r="K15" i="41" s="1"/>
  <c r="C49" i="41"/>
  <c r="K6" i="30"/>
  <c r="K7" i="41" s="1"/>
  <c r="N7" i="30"/>
  <c r="N12" i="30"/>
  <c r="N13" i="41" s="1"/>
  <c r="E13" i="30"/>
  <c r="E14" i="41" s="1"/>
  <c r="H14" i="30"/>
  <c r="H15" i="41" s="1"/>
  <c r="C50" i="41"/>
  <c r="H16" i="30"/>
  <c r="D17" i="41"/>
  <c r="C67" i="41" s="1"/>
  <c r="E16" i="30"/>
  <c r="V6" i="41"/>
  <c r="I17" i="32"/>
  <c r="K5" i="32"/>
  <c r="V11" i="41"/>
  <c r="D44" i="41" s="1"/>
  <c r="K10" i="32"/>
  <c r="Z12" i="41"/>
  <c r="N11" i="32"/>
  <c r="T14" i="41"/>
  <c r="D64" i="41" s="1"/>
  <c r="H13" i="32"/>
  <c r="Q17" i="41"/>
  <c r="D67" i="41" s="1"/>
  <c r="E16" i="32"/>
  <c r="AD10" i="41"/>
  <c r="E60" i="41" s="1"/>
  <c r="E9" i="34"/>
  <c r="AI17" i="41"/>
  <c r="E50" i="41" s="1"/>
  <c r="K16" i="34"/>
  <c r="AS8" i="41"/>
  <c r="H8" i="36"/>
  <c r="S11" i="36"/>
  <c r="BN7" i="41"/>
  <c r="T7" i="38"/>
  <c r="BE8" i="41"/>
  <c r="Q8" i="38"/>
  <c r="BM12" i="41"/>
  <c r="N11" i="38"/>
  <c r="BM7" i="41"/>
  <c r="C42" i="41"/>
  <c r="N9" i="30"/>
  <c r="T9" i="30"/>
  <c r="E10" i="30"/>
  <c r="C62" i="41"/>
  <c r="H11" i="30"/>
  <c r="C46" i="41"/>
  <c r="K12" i="30"/>
  <c r="N13" i="30"/>
  <c r="E14" i="30"/>
  <c r="H15" i="30"/>
  <c r="N16" i="30"/>
  <c r="M17" i="30"/>
  <c r="J17" i="32"/>
  <c r="W6" i="41"/>
  <c r="H8" i="32"/>
  <c r="T10" i="41"/>
  <c r="D60" i="41" s="1"/>
  <c r="H9" i="32"/>
  <c r="R11" i="41"/>
  <c r="S10" i="32"/>
  <c r="V12" i="41"/>
  <c r="D45" i="41" s="1"/>
  <c r="K11" i="32"/>
  <c r="Z16" i="41"/>
  <c r="N15" i="32"/>
  <c r="AM9" i="41"/>
  <c r="E59" i="41" s="1"/>
  <c r="N8" i="34"/>
  <c r="AG11" i="41"/>
  <c r="E61" i="41" s="1"/>
  <c r="H10" i="34"/>
  <c r="AD14" i="41"/>
  <c r="E64" i="41" s="1"/>
  <c r="E13" i="34"/>
  <c r="D17" i="34"/>
  <c r="AP7" i="41"/>
  <c r="F40" i="41" s="1"/>
  <c r="E7" i="36"/>
  <c r="AZ9" i="41"/>
  <c r="F59" i="41" s="1"/>
  <c r="N9" i="36"/>
  <c r="R10" i="36"/>
  <c r="AT11" i="41"/>
  <c r="H11" i="36"/>
  <c r="AS12" i="41"/>
  <c r="F45" i="41" s="1"/>
  <c r="H12" i="36"/>
  <c r="AQ14" i="41"/>
  <c r="F64" i="41" s="1"/>
  <c r="E14" i="36"/>
  <c r="S15" i="36"/>
  <c r="G16" i="37"/>
  <c r="BI7" i="41"/>
  <c r="G40" i="41" s="1"/>
  <c r="K6" i="38"/>
  <c r="Q17" i="38"/>
  <c r="BQ15" i="41"/>
  <c r="H65" i="41" s="1"/>
  <c r="E14" i="40"/>
  <c r="BX16" i="41"/>
  <c r="S16" i="40"/>
  <c r="D57" i="41"/>
  <c r="D6" i="41"/>
  <c r="D17" i="30"/>
  <c r="L6" i="41"/>
  <c r="L17" i="30"/>
  <c r="S16" i="30"/>
  <c r="T16" i="34"/>
  <c r="Q17" i="34"/>
  <c r="AT7" i="41"/>
  <c r="H7" i="36"/>
  <c r="AQ10" i="41"/>
  <c r="F60" i="41" s="1"/>
  <c r="E10" i="36"/>
  <c r="AY14" i="41"/>
  <c r="F47" i="41" s="1"/>
  <c r="N14" i="36"/>
  <c r="AR17" i="41"/>
  <c r="Q17" i="36"/>
  <c r="AV17" i="41"/>
  <c r="F50" i="41" s="1"/>
  <c r="K17" i="36"/>
  <c r="BJ11" i="41"/>
  <c r="K10" i="38"/>
  <c r="BE16" i="41"/>
  <c r="Q16" i="38"/>
  <c r="BZ10" i="41"/>
  <c r="H60" i="41" s="1"/>
  <c r="N9" i="40"/>
  <c r="M17" i="40"/>
  <c r="E5" i="30"/>
  <c r="E6" i="30"/>
  <c r="C58" i="41"/>
  <c r="H7" i="30"/>
  <c r="R7" i="30"/>
  <c r="K8" i="30"/>
  <c r="N5" i="30"/>
  <c r="N6" i="30"/>
  <c r="E7" i="30"/>
  <c r="C59" i="41"/>
  <c r="H8" i="30"/>
  <c r="C43" i="41"/>
  <c r="K9" i="30"/>
  <c r="N10" i="30"/>
  <c r="E11" i="30"/>
  <c r="S11" i="30"/>
  <c r="C63" i="41"/>
  <c r="H12" i="30"/>
  <c r="C47" i="41"/>
  <c r="K13" i="30"/>
  <c r="Q13" i="30"/>
  <c r="N14" i="30"/>
  <c r="E15" i="30"/>
  <c r="M16" i="41"/>
  <c r="C66" i="41" s="1"/>
  <c r="N15" i="30"/>
  <c r="K16" i="30"/>
  <c r="F17" i="30"/>
  <c r="F17" i="32"/>
  <c r="S6" i="41"/>
  <c r="V7" i="41"/>
  <c r="D40" i="41" s="1"/>
  <c r="K6" i="32"/>
  <c r="N6" i="32"/>
  <c r="Z8" i="41"/>
  <c r="D58" i="41" s="1"/>
  <c r="N7" i="32"/>
  <c r="Q9" i="41"/>
  <c r="D59" i="41" s="1"/>
  <c r="E8" i="32"/>
  <c r="D43" i="41"/>
  <c r="T10" i="32"/>
  <c r="R16" i="41"/>
  <c r="Q16" i="32"/>
  <c r="V16" i="41"/>
  <c r="D49" i="41" s="1"/>
  <c r="K15" i="32"/>
  <c r="C17" i="32"/>
  <c r="AG6" i="41"/>
  <c r="E56" i="41" s="1"/>
  <c r="G17" i="34"/>
  <c r="H5" i="34"/>
  <c r="K7" i="34"/>
  <c r="AN8" i="41"/>
  <c r="T8" i="34"/>
  <c r="AE9" i="41"/>
  <c r="AI9" i="41"/>
  <c r="E42" i="41" s="1"/>
  <c r="K8" i="34"/>
  <c r="AM13" i="41"/>
  <c r="E63" i="41" s="1"/>
  <c r="N12" i="34"/>
  <c r="AG15" i="41"/>
  <c r="H14" i="34"/>
  <c r="AF16" i="41"/>
  <c r="E49" i="41" s="1"/>
  <c r="H15" i="34"/>
  <c r="G16" i="15"/>
  <c r="G16" i="35"/>
  <c r="N6" i="36"/>
  <c r="AY6" i="41"/>
  <c r="F39" i="41" s="1"/>
  <c r="F58" i="41"/>
  <c r="AR9" i="41"/>
  <c r="Q9" i="36"/>
  <c r="AV9" i="41"/>
  <c r="F42" i="41" s="1"/>
  <c r="K9" i="36"/>
  <c r="AP11" i="41"/>
  <c r="F44" i="41" s="1"/>
  <c r="E11" i="36"/>
  <c r="AZ13" i="41"/>
  <c r="F63" i="41" s="1"/>
  <c r="N13" i="36"/>
  <c r="R14" i="36"/>
  <c r="AT15" i="41"/>
  <c r="H15" i="36"/>
  <c r="AS16" i="41"/>
  <c r="H16" i="36"/>
  <c r="BM6" i="41"/>
  <c r="M17" i="38"/>
  <c r="N5" i="38"/>
  <c r="Q9" i="38"/>
  <c r="BG15" i="41"/>
  <c r="G65" i="41" s="1"/>
  <c r="H14" i="38"/>
  <c r="E7" i="40"/>
  <c r="BP8" i="41"/>
  <c r="H41" i="41" s="1"/>
  <c r="BS13" i="41"/>
  <c r="H46" i="41" s="1"/>
  <c r="H12" i="40"/>
  <c r="AG7" i="41"/>
  <c r="E57" i="41" s="1"/>
  <c r="H59" i="41"/>
  <c r="R6" i="30"/>
  <c r="C45" i="41"/>
  <c r="R15" i="30"/>
  <c r="J17" i="30"/>
  <c r="X9" i="41"/>
  <c r="S9" i="32"/>
  <c r="C6" i="41"/>
  <c r="C17" i="30"/>
  <c r="G6" i="41"/>
  <c r="G17" i="30"/>
  <c r="K6" i="41"/>
  <c r="C40" i="41"/>
  <c r="S8" i="30"/>
  <c r="C60" i="41"/>
  <c r="C44" i="41"/>
  <c r="Q10" i="30"/>
  <c r="C64" i="41"/>
  <c r="C48" i="41"/>
  <c r="H17" i="41"/>
  <c r="R17" i="30"/>
  <c r="I17" i="30"/>
  <c r="Z6" i="41"/>
  <c r="M17" i="32"/>
  <c r="V8" i="41"/>
  <c r="K7" i="32"/>
  <c r="Q13" i="41"/>
  <c r="D63" i="41" s="1"/>
  <c r="E12" i="32"/>
  <c r="G17" i="32"/>
  <c r="G16" i="33"/>
  <c r="AC6" i="41"/>
  <c r="E39" i="41" s="1"/>
  <c r="C17" i="34"/>
  <c r="S7" i="34"/>
  <c r="AK7" i="41"/>
  <c r="R10" i="34"/>
  <c r="T12" i="34"/>
  <c r="Q13" i="34"/>
  <c r="AI13" i="41"/>
  <c r="E46" i="41" s="1"/>
  <c r="K12" i="34"/>
  <c r="AC15" i="41"/>
  <c r="E48" i="41" s="1"/>
  <c r="E14" i="34"/>
  <c r="AM17" i="41"/>
  <c r="E67" i="41" s="1"/>
  <c r="N16" i="34"/>
  <c r="L17" i="34"/>
  <c r="AQ6" i="41"/>
  <c r="F56" i="41" s="1"/>
  <c r="E6" i="36"/>
  <c r="AX7" i="41"/>
  <c r="S7" i="36"/>
  <c r="AY10" i="41"/>
  <c r="F43" i="41" s="1"/>
  <c r="N10" i="36"/>
  <c r="AR13" i="41"/>
  <c r="Q13" i="36"/>
  <c r="AV13" i="41"/>
  <c r="F46" i="41" s="1"/>
  <c r="K13" i="36"/>
  <c r="AP15" i="41"/>
  <c r="F48" i="41" s="1"/>
  <c r="E15" i="36"/>
  <c r="AZ17" i="41"/>
  <c r="N17" i="36"/>
  <c r="L18" i="36"/>
  <c r="BE6" i="41"/>
  <c r="Q6" i="38"/>
  <c r="BI6" i="41"/>
  <c r="I17" i="38"/>
  <c r="K5" i="38"/>
  <c r="K8" i="38"/>
  <c r="BI9" i="41"/>
  <c r="G42" i="41" s="1"/>
  <c r="BN11" i="41"/>
  <c r="T11" i="38"/>
  <c r="BH14" i="41"/>
  <c r="R14" i="38"/>
  <c r="BL14" i="41"/>
  <c r="G47" i="41" s="1"/>
  <c r="N13" i="38"/>
  <c r="BI17" i="41"/>
  <c r="G50" i="41" s="1"/>
  <c r="K16" i="38"/>
  <c r="D17" i="40"/>
  <c r="BQ6" i="41"/>
  <c r="E5" i="40"/>
  <c r="BT12" i="41"/>
  <c r="H62" i="41" s="1"/>
  <c r="H11" i="40"/>
  <c r="D48" i="41"/>
  <c r="K14" i="32"/>
  <c r="D17" i="32"/>
  <c r="L17" i="32"/>
  <c r="E41" i="41"/>
  <c r="E45" i="41"/>
  <c r="K11" i="34"/>
  <c r="E65" i="41"/>
  <c r="K15" i="34"/>
  <c r="I17" i="34"/>
  <c r="M17" i="34"/>
  <c r="S6" i="36"/>
  <c r="F57" i="41"/>
  <c r="F41" i="41"/>
  <c r="K8" i="36"/>
  <c r="K18" i="36" s="1"/>
  <c r="Q8" i="36"/>
  <c r="S10" i="36"/>
  <c r="F61" i="41"/>
  <c r="K12" i="36"/>
  <c r="Q12" i="36"/>
  <c r="F65" i="41"/>
  <c r="F49" i="41"/>
  <c r="K16" i="36"/>
  <c r="Q16" i="36"/>
  <c r="I18" i="36"/>
  <c r="M18" i="36"/>
  <c r="BF6" i="41"/>
  <c r="G39" i="41" s="1"/>
  <c r="F17" i="38"/>
  <c r="BJ6" i="41"/>
  <c r="J17" i="38"/>
  <c r="BK10" i="41"/>
  <c r="S10" i="38"/>
  <c r="R9" i="38"/>
  <c r="BI12" i="41"/>
  <c r="K11" i="38"/>
  <c r="G63" i="41"/>
  <c r="BM13" i="41"/>
  <c r="N12" i="38"/>
  <c r="BD14" i="41"/>
  <c r="G64" i="41" s="1"/>
  <c r="E13" i="38"/>
  <c r="BC15" i="41"/>
  <c r="G48" i="41" s="1"/>
  <c r="E14" i="38"/>
  <c r="BF16" i="41"/>
  <c r="H15" i="38"/>
  <c r="T15" i="38"/>
  <c r="R17" i="38"/>
  <c r="F17" i="40"/>
  <c r="J17" i="40"/>
  <c r="T7" i="40"/>
  <c r="CA7" i="41"/>
  <c r="CA9" i="41"/>
  <c r="T9" i="40"/>
  <c r="BR10" i="41"/>
  <c r="Q10" i="40"/>
  <c r="BV10" i="41"/>
  <c r="H43" i="41" s="1"/>
  <c r="K9" i="40"/>
  <c r="BP12" i="41"/>
  <c r="H45" i="41" s="1"/>
  <c r="E11" i="40"/>
  <c r="BZ14" i="41"/>
  <c r="N13" i="40"/>
  <c r="BT16" i="41"/>
  <c r="H66" i="41" s="1"/>
  <c r="H15" i="40"/>
  <c r="BS17" i="41"/>
  <c r="H16" i="40"/>
  <c r="BA7" i="41"/>
  <c r="BQ7" i="41"/>
  <c r="H57" i="41" s="1"/>
  <c r="H5" i="32"/>
  <c r="H6" i="32"/>
  <c r="D41" i="41"/>
  <c r="N8" i="32"/>
  <c r="E9" i="32"/>
  <c r="D61" i="41"/>
  <c r="H10" i="32"/>
  <c r="N12" i="32"/>
  <c r="E13" i="32"/>
  <c r="S13" i="32"/>
  <c r="D65" i="41"/>
  <c r="H14" i="32"/>
  <c r="Q15" i="32"/>
  <c r="N16" i="32"/>
  <c r="E5" i="34"/>
  <c r="E6" i="34"/>
  <c r="E58" i="41"/>
  <c r="H7" i="34"/>
  <c r="N9" i="34"/>
  <c r="E10" i="34"/>
  <c r="E62" i="41"/>
  <c r="H11" i="34"/>
  <c r="Q12" i="34"/>
  <c r="N13" i="34"/>
  <c r="E66" i="41"/>
  <c r="Q16" i="34"/>
  <c r="F17" i="34"/>
  <c r="J17" i="34"/>
  <c r="F62" i="41"/>
  <c r="F66" i="41"/>
  <c r="F18" i="36"/>
  <c r="J18" i="36"/>
  <c r="BH10" i="41"/>
  <c r="R10" i="38"/>
  <c r="BL10" i="41"/>
  <c r="G43" i="41" s="1"/>
  <c r="N9" i="38"/>
  <c r="BG11" i="41"/>
  <c r="G61" i="41" s="1"/>
  <c r="H10" i="38"/>
  <c r="BI13" i="41"/>
  <c r="G46" i="41" s="1"/>
  <c r="K12" i="38"/>
  <c r="Q13" i="38"/>
  <c r="C17" i="38"/>
  <c r="G17" i="40"/>
  <c r="S8" i="40"/>
  <c r="BU11" i="41"/>
  <c r="R11" i="40"/>
  <c r="BY11" i="41"/>
  <c r="N10" i="40"/>
  <c r="CA13" i="41"/>
  <c r="T13" i="40"/>
  <c r="BR14" i="41"/>
  <c r="Q14" i="40"/>
  <c r="BV14" i="41"/>
  <c r="H47" i="41" s="1"/>
  <c r="K13" i="40"/>
  <c r="E15" i="40"/>
  <c r="BP16" i="41"/>
  <c r="H49" i="41" s="1"/>
  <c r="I17" i="40"/>
  <c r="BU7" i="41"/>
  <c r="CB7" i="41" s="1"/>
  <c r="H23" i="41" s="1"/>
  <c r="BC11" i="41"/>
  <c r="G44" i="41" s="1"/>
  <c r="D62" i="41"/>
  <c r="D46" i="41"/>
  <c r="D66" i="41"/>
  <c r="D50" i="41"/>
  <c r="E43" i="41"/>
  <c r="E47" i="41"/>
  <c r="R9" i="36"/>
  <c r="T11" i="36"/>
  <c r="F67" i="41"/>
  <c r="R17" i="36"/>
  <c r="C18" i="36"/>
  <c r="G18" i="36"/>
  <c r="G56" i="41"/>
  <c r="G57" i="41"/>
  <c r="BH7" i="41"/>
  <c r="R7" i="38"/>
  <c r="BI8" i="41"/>
  <c r="G41" i="41" s="1"/>
  <c r="K7" i="38"/>
  <c r="BN8" i="41"/>
  <c r="T8" i="38"/>
  <c r="T9" i="38"/>
  <c r="BN9" i="41"/>
  <c r="BD10" i="41"/>
  <c r="G60" i="41" s="1"/>
  <c r="E9" i="38"/>
  <c r="BE11" i="41"/>
  <c r="Q11" i="38"/>
  <c r="BF12" i="41"/>
  <c r="G45" i="41" s="1"/>
  <c r="H11" i="38"/>
  <c r="BK14" i="41"/>
  <c r="S14" i="38"/>
  <c r="BI16" i="41"/>
  <c r="G49" i="41" s="1"/>
  <c r="K15" i="38"/>
  <c r="BN16" i="41"/>
  <c r="T16" i="38"/>
  <c r="BM17" i="41"/>
  <c r="G67" i="41" s="1"/>
  <c r="N16" i="38"/>
  <c r="D17" i="38"/>
  <c r="L17" i="38"/>
  <c r="G16" i="17"/>
  <c r="C17" i="40"/>
  <c r="BU6" i="41"/>
  <c r="L17" i="40"/>
  <c r="BY6" i="41"/>
  <c r="N5" i="40"/>
  <c r="R6" i="40"/>
  <c r="BT8" i="41"/>
  <c r="H58" i="41" s="1"/>
  <c r="H7" i="40"/>
  <c r="BS9" i="41"/>
  <c r="H42" i="41" s="1"/>
  <c r="H8" i="40"/>
  <c r="BQ11" i="41"/>
  <c r="H61" i="41" s="1"/>
  <c r="E10" i="40"/>
  <c r="BX12" i="41"/>
  <c r="S12" i="40"/>
  <c r="BU15" i="41"/>
  <c r="BY7" i="41"/>
  <c r="H40" i="41" s="1"/>
  <c r="BM9" i="41"/>
  <c r="G59" i="41" s="1"/>
  <c r="BE12" i="41"/>
  <c r="K8" i="40"/>
  <c r="K12" i="40"/>
  <c r="H50" i="41"/>
  <c r="K16" i="40"/>
  <c r="BP6" i="41"/>
  <c r="BT6" i="41"/>
  <c r="BX6" i="41"/>
  <c r="G62" i="41"/>
  <c r="G66" i="41"/>
  <c r="H63" i="41"/>
  <c r="N14" i="40"/>
  <c r="S15" i="40"/>
  <c r="H67" i="41"/>
  <c r="Q17" i="40"/>
  <c r="H44" i="41"/>
  <c r="H64" i="41"/>
  <c r="H48" i="41"/>
  <c r="BR9" i="41" l="1"/>
  <c r="Q9" i="30"/>
  <c r="R10" i="30"/>
  <c r="S14" i="34"/>
  <c r="S12" i="30"/>
  <c r="BU10" i="41"/>
  <c r="R10" i="40"/>
  <c r="CA12" i="41"/>
  <c r="T12" i="40"/>
  <c r="BK15" i="41"/>
  <c r="S15" i="38"/>
  <c r="BA12" i="41"/>
  <c r="T12" i="36"/>
  <c r="S15" i="34"/>
  <c r="BA8" i="41"/>
  <c r="T8" i="36"/>
  <c r="H18" i="36"/>
  <c r="R13" i="36"/>
  <c r="Q13" i="40"/>
  <c r="R13" i="32"/>
  <c r="S11" i="34"/>
  <c r="BE7" i="41"/>
  <c r="BH13" i="41"/>
  <c r="R13" i="38"/>
  <c r="S11" i="40"/>
  <c r="R6" i="41"/>
  <c r="T15" i="36"/>
  <c r="Q8" i="32"/>
  <c r="S15" i="30"/>
  <c r="S14" i="36"/>
  <c r="Q7" i="32"/>
  <c r="R7" i="34"/>
  <c r="S7" i="40"/>
  <c r="T17" i="40"/>
  <c r="T16" i="36"/>
  <c r="CA8" i="41"/>
  <c r="T8" i="40"/>
  <c r="Q7" i="40"/>
  <c r="T6" i="32"/>
  <c r="T11" i="32"/>
  <c r="R6" i="38"/>
  <c r="R11" i="30"/>
  <c r="R14" i="34"/>
  <c r="AU6" i="41"/>
  <c r="R6" i="36"/>
  <c r="T6" i="34"/>
  <c r="S6" i="34"/>
  <c r="Q8" i="34"/>
  <c r="T11" i="34"/>
  <c r="I49" i="41"/>
  <c r="AN15" i="41"/>
  <c r="T15" i="34"/>
  <c r="AN7" i="41"/>
  <c r="T7" i="34"/>
  <c r="AH17" i="41"/>
  <c r="R17" i="34"/>
  <c r="S10" i="34"/>
  <c r="AK10" i="41"/>
  <c r="AH9" i="41"/>
  <c r="R9" i="34"/>
  <c r="AH13" i="41"/>
  <c r="R13" i="34"/>
  <c r="R17" i="32"/>
  <c r="I57" i="41"/>
  <c r="N17" i="32"/>
  <c r="S14" i="32"/>
  <c r="D39" i="41"/>
  <c r="R8" i="32"/>
  <c r="D56" i="41"/>
  <c r="U16" i="41"/>
  <c r="R16" i="32"/>
  <c r="AA15" i="41"/>
  <c r="Q12" i="32"/>
  <c r="AA14" i="41"/>
  <c r="T14" i="32"/>
  <c r="S17" i="32"/>
  <c r="I50" i="41"/>
  <c r="I65" i="41"/>
  <c r="C39" i="41"/>
  <c r="Q14" i="30"/>
  <c r="S7" i="30"/>
  <c r="T13" i="30"/>
  <c r="N8" i="41"/>
  <c r="T8" i="30"/>
  <c r="H14" i="41"/>
  <c r="R14" i="30"/>
  <c r="I41" i="41"/>
  <c r="I61" i="41"/>
  <c r="I66" i="41"/>
  <c r="BX17" i="41"/>
  <c r="S17" i="40"/>
  <c r="AH12" i="41"/>
  <c r="R12" i="34"/>
  <c r="E17" i="34"/>
  <c r="AE6" i="41"/>
  <c r="Q6" i="34"/>
  <c r="R14" i="41"/>
  <c r="Q14" i="32"/>
  <c r="BH16" i="41"/>
  <c r="BO16" i="41" s="1"/>
  <c r="G32" i="41" s="1"/>
  <c r="R16" i="38"/>
  <c r="U16" i="38" s="1"/>
  <c r="AK12" i="41"/>
  <c r="S12" i="34"/>
  <c r="BK17" i="41"/>
  <c r="S17" i="38"/>
  <c r="AU15" i="41"/>
  <c r="R15" i="36"/>
  <c r="AN13" i="41"/>
  <c r="T13" i="34"/>
  <c r="K14" i="41"/>
  <c r="S14" i="30"/>
  <c r="E7" i="41"/>
  <c r="Q7" i="30"/>
  <c r="BK11" i="41"/>
  <c r="S11" i="38"/>
  <c r="R9" i="32"/>
  <c r="U9" i="41"/>
  <c r="CA15" i="41"/>
  <c r="T15" i="40"/>
  <c r="BH12" i="41"/>
  <c r="BO12" i="41" s="1"/>
  <c r="G28" i="41" s="1"/>
  <c r="R12" i="38"/>
  <c r="AN14" i="41"/>
  <c r="T14" i="34"/>
  <c r="AH8" i="41"/>
  <c r="R8" i="34"/>
  <c r="U15" i="41"/>
  <c r="R15" i="32"/>
  <c r="AA13" i="41"/>
  <c r="T13" i="32"/>
  <c r="R10" i="41"/>
  <c r="Q10" i="32"/>
  <c r="U6" i="41"/>
  <c r="R6" i="32"/>
  <c r="H17" i="32"/>
  <c r="BU17" i="41"/>
  <c r="R17" i="40"/>
  <c r="U17" i="40" s="1"/>
  <c r="CA14" i="41"/>
  <c r="T14" i="40"/>
  <c r="BX10" i="41"/>
  <c r="CB10" i="41" s="1"/>
  <c r="H26" i="41" s="1"/>
  <c r="S10" i="40"/>
  <c r="U10" i="40" s="1"/>
  <c r="BK12" i="41"/>
  <c r="S12" i="38"/>
  <c r="AX16" i="41"/>
  <c r="S16" i="36"/>
  <c r="AK16" i="41"/>
  <c r="S16" i="34"/>
  <c r="BR6" i="41"/>
  <c r="Q6" i="40"/>
  <c r="E17" i="40"/>
  <c r="BA17" i="41"/>
  <c r="T17" i="36"/>
  <c r="AX13" i="41"/>
  <c r="S13" i="36"/>
  <c r="T10" i="36"/>
  <c r="BA10" i="41"/>
  <c r="AR6" i="41"/>
  <c r="Q6" i="36"/>
  <c r="E18" i="36"/>
  <c r="AR11" i="41"/>
  <c r="Q11" i="36"/>
  <c r="BA6" i="41"/>
  <c r="N18" i="36"/>
  <c r="T6" i="36"/>
  <c r="AH6" i="41"/>
  <c r="R6" i="34"/>
  <c r="H17" i="34"/>
  <c r="X16" i="41"/>
  <c r="S16" i="32"/>
  <c r="AA8" i="41"/>
  <c r="T8" i="32"/>
  <c r="X7" i="41"/>
  <c r="S7" i="32"/>
  <c r="E16" i="41"/>
  <c r="Q16" i="30"/>
  <c r="I47" i="41"/>
  <c r="E12" i="41"/>
  <c r="Q12" i="30"/>
  <c r="I43" i="41"/>
  <c r="E8" i="41"/>
  <c r="Q8" i="30"/>
  <c r="U8" i="30" s="1"/>
  <c r="E6" i="41"/>
  <c r="Q6" i="30"/>
  <c r="E17" i="30"/>
  <c r="BK7" i="41"/>
  <c r="S7" i="38"/>
  <c r="T9" i="36"/>
  <c r="BA9" i="41"/>
  <c r="AA16" i="41"/>
  <c r="T16" i="32"/>
  <c r="H16" i="41"/>
  <c r="R16" i="30"/>
  <c r="N14" i="41"/>
  <c r="T14" i="30"/>
  <c r="H12" i="41"/>
  <c r="R12" i="30"/>
  <c r="N10" i="41"/>
  <c r="T10" i="30"/>
  <c r="R17" i="41"/>
  <c r="Q17" i="32"/>
  <c r="AA12" i="41"/>
  <c r="T12" i="32"/>
  <c r="X6" i="41"/>
  <c r="S6" i="32"/>
  <c r="K17" i="32"/>
  <c r="I67" i="41"/>
  <c r="BR11" i="41"/>
  <c r="Q11" i="40"/>
  <c r="BU8" i="41"/>
  <c r="R8" i="40"/>
  <c r="BK9" i="41"/>
  <c r="BO9" i="41" s="1"/>
  <c r="G25" i="41" s="1"/>
  <c r="S9" i="38"/>
  <c r="U9" i="38" s="1"/>
  <c r="AK13" i="41"/>
  <c r="S13" i="34"/>
  <c r="U13" i="34" s="1"/>
  <c r="AA7" i="41"/>
  <c r="T7" i="32"/>
  <c r="K9" i="41"/>
  <c r="S9" i="30"/>
  <c r="AR10" i="41"/>
  <c r="Q10" i="36"/>
  <c r="U7" i="38"/>
  <c r="AU12" i="41"/>
  <c r="R12" i="36"/>
  <c r="AN9" i="41"/>
  <c r="T9" i="34"/>
  <c r="E17" i="32"/>
  <c r="BN12" i="41"/>
  <c r="T12" i="38"/>
  <c r="AU8" i="41"/>
  <c r="R8" i="36"/>
  <c r="E17" i="41"/>
  <c r="Q17" i="30"/>
  <c r="BX9" i="41"/>
  <c r="S9" i="40"/>
  <c r="BK16" i="41"/>
  <c r="S16" i="38"/>
  <c r="BE10" i="41"/>
  <c r="Q10" i="38"/>
  <c r="R9" i="40"/>
  <c r="BU9" i="41"/>
  <c r="CB9" i="41" s="1"/>
  <c r="H25" i="41" s="1"/>
  <c r="BR16" i="41"/>
  <c r="Q16" i="40"/>
  <c r="T11" i="40"/>
  <c r="CA11" i="41"/>
  <c r="BH11" i="41"/>
  <c r="BO11" i="41" s="1"/>
  <c r="G27" i="41" s="1"/>
  <c r="R11" i="38"/>
  <c r="N17" i="34"/>
  <c r="AE11" i="41"/>
  <c r="Q11" i="34"/>
  <c r="AA17" i="41"/>
  <c r="T17" i="32"/>
  <c r="AA9" i="41"/>
  <c r="T9" i="32"/>
  <c r="H17" i="38"/>
  <c r="BE15" i="41"/>
  <c r="Q15" i="38"/>
  <c r="BN13" i="41"/>
  <c r="T13" i="38"/>
  <c r="AX12" i="41"/>
  <c r="S12" i="36"/>
  <c r="U8" i="36"/>
  <c r="H56" i="41"/>
  <c r="S6" i="38"/>
  <c r="K17" i="38"/>
  <c r="BK6" i="41"/>
  <c r="E17" i="38"/>
  <c r="AE15" i="41"/>
  <c r="Q15" i="34"/>
  <c r="X8" i="41"/>
  <c r="S8" i="32"/>
  <c r="I48" i="41"/>
  <c r="I40" i="41"/>
  <c r="I45" i="41"/>
  <c r="BR8" i="41"/>
  <c r="CB8" i="41" s="1"/>
  <c r="H24" i="41" s="1"/>
  <c r="Q8" i="40"/>
  <c r="U8" i="40" s="1"/>
  <c r="AU16" i="41"/>
  <c r="BB16" i="41" s="1"/>
  <c r="F32" i="41" s="1"/>
  <c r="R16" i="36"/>
  <c r="BB9" i="41"/>
  <c r="F25" i="41" s="1"/>
  <c r="AH15" i="41"/>
  <c r="R15" i="34"/>
  <c r="S9" i="34"/>
  <c r="AK9" i="41"/>
  <c r="K17" i="41"/>
  <c r="S17" i="30"/>
  <c r="N15" i="41"/>
  <c r="T15" i="30"/>
  <c r="H13" i="41"/>
  <c r="R13" i="30"/>
  <c r="N11" i="41"/>
  <c r="T11" i="30"/>
  <c r="H9" i="41"/>
  <c r="R9" i="30"/>
  <c r="N7" i="41"/>
  <c r="T7" i="30"/>
  <c r="H8" i="41"/>
  <c r="R8" i="30"/>
  <c r="AX17" i="41"/>
  <c r="BB17" i="41" s="1"/>
  <c r="F33" i="41" s="1"/>
  <c r="S17" i="36"/>
  <c r="U17" i="36" s="1"/>
  <c r="BA14" i="41"/>
  <c r="T14" i="36"/>
  <c r="AU7" i="41"/>
  <c r="R7" i="36"/>
  <c r="C56" i="41"/>
  <c r="BR15" i="41"/>
  <c r="Q15" i="40"/>
  <c r="AR14" i="41"/>
  <c r="Q14" i="36"/>
  <c r="AU11" i="41"/>
  <c r="R11" i="36"/>
  <c r="AH11" i="41"/>
  <c r="R11" i="34"/>
  <c r="U10" i="41"/>
  <c r="R10" i="32"/>
  <c r="K13" i="41"/>
  <c r="S13" i="30"/>
  <c r="U13" i="30" s="1"/>
  <c r="I62" i="41"/>
  <c r="I42" i="41"/>
  <c r="AK17" i="41"/>
  <c r="S17" i="34"/>
  <c r="BN17" i="41"/>
  <c r="T17" i="38"/>
  <c r="U17" i="38" s="1"/>
  <c r="BK8" i="41"/>
  <c r="BO8" i="41" s="1"/>
  <c r="G24" i="41" s="1"/>
  <c r="S8" i="38"/>
  <c r="U8" i="38" s="1"/>
  <c r="BN10" i="41"/>
  <c r="T10" i="38"/>
  <c r="U7" i="41"/>
  <c r="R7" i="32"/>
  <c r="BE14" i="41"/>
  <c r="Q14" i="38"/>
  <c r="X15" i="41"/>
  <c r="S15" i="32"/>
  <c r="AN17" i="41"/>
  <c r="T17" i="34"/>
  <c r="I60" i="41"/>
  <c r="AH16" i="41"/>
  <c r="R16" i="34"/>
  <c r="U16" i="34" s="1"/>
  <c r="AK8" i="41"/>
  <c r="S8" i="34"/>
  <c r="U8" i="34" s="1"/>
  <c r="K10" i="41"/>
  <c r="S10" i="30"/>
  <c r="AE14" i="41"/>
  <c r="Q14" i="34"/>
  <c r="H39" i="41"/>
  <c r="BX13" i="41"/>
  <c r="S13" i="40"/>
  <c r="T6" i="40"/>
  <c r="N17" i="40"/>
  <c r="CA6" i="41"/>
  <c r="H17" i="40"/>
  <c r="BX14" i="41"/>
  <c r="CB14" i="41" s="1"/>
  <c r="H30" i="41" s="1"/>
  <c r="S14" i="40"/>
  <c r="U14" i="40" s="1"/>
  <c r="U7" i="40"/>
  <c r="K17" i="40"/>
  <c r="BK13" i="41"/>
  <c r="S13" i="38"/>
  <c r="AN10" i="41"/>
  <c r="T10" i="34"/>
  <c r="AE7" i="41"/>
  <c r="Q7" i="34"/>
  <c r="U11" i="41"/>
  <c r="R11" i="32"/>
  <c r="BU16" i="41"/>
  <c r="R16" i="40"/>
  <c r="BR12" i="41"/>
  <c r="Q12" i="40"/>
  <c r="AX8" i="41"/>
  <c r="S8" i="36"/>
  <c r="R12" i="40"/>
  <c r="BU12" i="41"/>
  <c r="BN14" i="41"/>
  <c r="T14" i="38"/>
  <c r="AR15" i="41"/>
  <c r="BB15" i="41" s="1"/>
  <c r="F31" i="41" s="1"/>
  <c r="Q15" i="36"/>
  <c r="U15" i="36" s="1"/>
  <c r="R13" i="41"/>
  <c r="Q13" i="32"/>
  <c r="I64" i="41"/>
  <c r="I44" i="41"/>
  <c r="K17" i="30"/>
  <c r="R13" i="40"/>
  <c r="BU13" i="41"/>
  <c r="BH15" i="41"/>
  <c r="R15" i="38"/>
  <c r="BN6" i="41"/>
  <c r="N17" i="38"/>
  <c r="T6" i="38"/>
  <c r="BA13" i="41"/>
  <c r="T13" i="36"/>
  <c r="AX9" i="41"/>
  <c r="S9" i="36"/>
  <c r="U9" i="36" s="1"/>
  <c r="R9" i="41"/>
  <c r="Q9" i="32"/>
  <c r="N16" i="41"/>
  <c r="T16" i="30"/>
  <c r="I63" i="41"/>
  <c r="U9" i="30"/>
  <c r="I59" i="41"/>
  <c r="N6" i="41"/>
  <c r="N17" i="30"/>
  <c r="T6" i="30"/>
  <c r="I58" i="41"/>
  <c r="CA10" i="41"/>
  <c r="T10" i="40"/>
  <c r="BO7" i="41"/>
  <c r="G23" i="41" s="1"/>
  <c r="AR7" i="41"/>
  <c r="Q7" i="36"/>
  <c r="K17" i="34"/>
  <c r="X12" i="41"/>
  <c r="S12" i="32"/>
  <c r="N17" i="41"/>
  <c r="T17" i="30"/>
  <c r="E15" i="41"/>
  <c r="O15" i="41" s="1"/>
  <c r="C31" i="41" s="1"/>
  <c r="Q15" i="30"/>
  <c r="I46" i="41"/>
  <c r="E11" i="41"/>
  <c r="Q11" i="30"/>
  <c r="U11" i="30" s="1"/>
  <c r="AE10" i="41"/>
  <c r="Q10" i="34"/>
  <c r="U14" i="41"/>
  <c r="R14" i="32"/>
  <c r="X11" i="41"/>
  <c r="S11" i="32"/>
  <c r="H17" i="30"/>
  <c r="U13" i="38" l="1"/>
  <c r="BB10" i="41"/>
  <c r="F26" i="41" s="1"/>
  <c r="O12" i="41"/>
  <c r="C28" i="41" s="1"/>
  <c r="BB13" i="41"/>
  <c r="F29" i="41" s="1"/>
  <c r="U13" i="36"/>
  <c r="U13" i="32"/>
  <c r="AB8" i="41"/>
  <c r="D24" i="41" s="1"/>
  <c r="U15" i="32"/>
  <c r="U15" i="40"/>
  <c r="BB14" i="41"/>
  <c r="F30" i="41" s="1"/>
  <c r="CB13" i="41"/>
  <c r="H29" i="41" s="1"/>
  <c r="BO6" i="41"/>
  <c r="G22" i="41" s="1"/>
  <c r="U16" i="36"/>
  <c r="I39" i="41"/>
  <c r="U11" i="38"/>
  <c r="U13" i="40"/>
  <c r="U6" i="32"/>
  <c r="U7" i="34"/>
  <c r="U10" i="30"/>
  <c r="U6" i="38"/>
  <c r="U12" i="36"/>
  <c r="AO7" i="41"/>
  <c r="E23" i="41" s="1"/>
  <c r="AO14" i="41"/>
  <c r="E30" i="41" s="1"/>
  <c r="U12" i="34"/>
  <c r="AO13" i="41"/>
  <c r="E29" i="41" s="1"/>
  <c r="U10" i="34"/>
  <c r="U17" i="34"/>
  <c r="AO16" i="41"/>
  <c r="E32" i="41" s="1"/>
  <c r="AO9" i="41"/>
  <c r="E25" i="41" s="1"/>
  <c r="U11" i="34"/>
  <c r="U14" i="34"/>
  <c r="U9" i="34"/>
  <c r="AO8" i="41"/>
  <c r="E24" i="41" s="1"/>
  <c r="AO17" i="41"/>
  <c r="E33" i="41" s="1"/>
  <c r="U15" i="34"/>
  <c r="AB7" i="41"/>
  <c r="D23" i="41" s="1"/>
  <c r="AB6" i="41"/>
  <c r="D22" i="41" s="1"/>
  <c r="U17" i="32"/>
  <c r="AB16" i="41"/>
  <c r="D32" i="41" s="1"/>
  <c r="U16" i="32"/>
  <c r="U8" i="32"/>
  <c r="U12" i="32"/>
  <c r="AB9" i="41"/>
  <c r="D25" i="41" s="1"/>
  <c r="U11" i="32"/>
  <c r="AB12" i="41"/>
  <c r="D28" i="41" s="1"/>
  <c r="AB13" i="41"/>
  <c r="D29" i="41" s="1"/>
  <c r="AB11" i="41"/>
  <c r="D27" i="41" s="1"/>
  <c r="U7" i="32"/>
  <c r="U14" i="32"/>
  <c r="O7" i="41"/>
  <c r="C23" i="41" s="1"/>
  <c r="O9" i="41"/>
  <c r="C25" i="41" s="1"/>
  <c r="O13" i="41"/>
  <c r="C29" i="41" s="1"/>
  <c r="O11" i="41"/>
  <c r="C27" i="41" s="1"/>
  <c r="U14" i="30"/>
  <c r="O10" i="41"/>
  <c r="C26" i="41" s="1"/>
  <c r="U10" i="38"/>
  <c r="CB6" i="41"/>
  <c r="H22" i="41" s="1"/>
  <c r="AO10" i="41"/>
  <c r="E26" i="41" s="1"/>
  <c r="U12" i="40"/>
  <c r="BO13" i="41"/>
  <c r="G29" i="41" s="1"/>
  <c r="CB15" i="41"/>
  <c r="H31" i="41" s="1"/>
  <c r="U15" i="38"/>
  <c r="AO11" i="41"/>
  <c r="E27" i="41" s="1"/>
  <c r="U9" i="40"/>
  <c r="BO10" i="41"/>
  <c r="G26" i="41" s="1"/>
  <c r="BB8" i="41"/>
  <c r="F24" i="41" s="1"/>
  <c r="BB12" i="41"/>
  <c r="F28" i="41" s="1"/>
  <c r="CB11" i="41"/>
  <c r="H27" i="41" s="1"/>
  <c r="AB17" i="41"/>
  <c r="D33" i="41" s="1"/>
  <c r="O8" i="41"/>
  <c r="C24" i="41" s="1"/>
  <c r="U6" i="36"/>
  <c r="CB17" i="41"/>
  <c r="H33" i="41" s="1"/>
  <c r="U10" i="32"/>
  <c r="U12" i="38"/>
  <c r="AB14" i="41"/>
  <c r="D30" i="41" s="1"/>
  <c r="U11" i="40"/>
  <c r="I51" i="41"/>
  <c r="U15" i="30"/>
  <c r="U7" i="36"/>
  <c r="U9" i="32"/>
  <c r="CB12" i="41"/>
  <c r="H28" i="41" s="1"/>
  <c r="U14" i="38"/>
  <c r="U14" i="36"/>
  <c r="I56" i="41"/>
  <c r="I68" i="41" s="1"/>
  <c r="AO15" i="41"/>
  <c r="E31" i="41" s="1"/>
  <c r="BO15" i="41"/>
  <c r="G31" i="41" s="1"/>
  <c r="U16" i="40"/>
  <c r="U17" i="30"/>
  <c r="U6" i="30"/>
  <c r="U16" i="30"/>
  <c r="U11" i="36"/>
  <c r="BB6" i="41"/>
  <c r="F22" i="41" s="1"/>
  <c r="AB10" i="41"/>
  <c r="D26" i="41" s="1"/>
  <c r="AB15" i="41"/>
  <c r="D31" i="41" s="1"/>
  <c r="O14" i="41"/>
  <c r="C30" i="41" s="1"/>
  <c r="U6" i="34"/>
  <c r="AO12" i="41"/>
  <c r="E28" i="41" s="1"/>
  <c r="BB7" i="41"/>
  <c r="F23" i="41" s="1"/>
  <c r="BO14" i="41"/>
  <c r="G30" i="41" s="1"/>
  <c r="CB16" i="41"/>
  <c r="H32" i="41" s="1"/>
  <c r="O17" i="41"/>
  <c r="C33" i="41" s="1"/>
  <c r="U10" i="36"/>
  <c r="O6" i="41"/>
  <c r="C22" i="41" s="1"/>
  <c r="U12" i="30"/>
  <c r="O16" i="41"/>
  <c r="C32" i="41" s="1"/>
  <c r="BB11" i="41"/>
  <c r="F27" i="41" s="1"/>
  <c r="U6" i="40"/>
  <c r="U7" i="30"/>
  <c r="BO17" i="41"/>
  <c r="G33" i="41" s="1"/>
  <c r="AO6" i="41"/>
  <c r="E22" i="41" s="1"/>
  <c r="U19" i="38" l="1"/>
  <c r="I25" i="41"/>
  <c r="I24" i="41"/>
  <c r="U18" i="34"/>
  <c r="I31" i="41"/>
  <c r="I29" i="41"/>
  <c r="U18" i="32"/>
  <c r="I28" i="41"/>
  <c r="I26" i="41"/>
  <c r="I32" i="41"/>
  <c r="I23" i="41"/>
  <c r="I30" i="41"/>
  <c r="I27" i="41"/>
  <c r="I33" i="41"/>
  <c r="U19" i="36"/>
  <c r="U18" i="30"/>
  <c r="U19" i="40"/>
  <c r="I22" i="41"/>
  <c r="C35" i="41" l="1"/>
</calcChain>
</file>

<file path=xl/sharedStrings.xml><?xml version="1.0" encoding="utf-8"?>
<sst xmlns="http://schemas.openxmlformats.org/spreadsheetml/2006/main" count="883" uniqueCount="83">
  <si>
    <t>MONTH WISE</t>
  </si>
  <si>
    <t>Lunch</t>
  </si>
  <si>
    <t>Snaks with Tea</t>
  </si>
  <si>
    <t>Dinner</t>
  </si>
  <si>
    <t>S.NO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</si>
  <si>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</si>
  <si>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</si>
  <si>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</si>
  <si>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</si>
  <si>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</si>
  <si>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</si>
  <si>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</si>
  <si>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</si>
  <si>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</si>
  <si>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</si>
  <si>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</si>
  <si>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Grand Total</t>
  </si>
  <si>
    <t>SRM IST HOSTEL MESS</t>
  </si>
  <si>
    <t>SANNASI MESS</t>
  </si>
  <si>
    <t>D-MESS</t>
  </si>
  <si>
    <t>SENBAGAM MESS</t>
  </si>
  <si>
    <t>J-MESS</t>
  </si>
  <si>
    <t>MEENAKSHI MESS</t>
  </si>
  <si>
    <t>STAFF MESS</t>
  </si>
  <si>
    <t>TOTAL</t>
  </si>
  <si>
    <t>Break Fast</t>
  </si>
  <si>
    <t>TOTAL FOOD WASTAGE</t>
  </si>
  <si>
    <t>Mar-2024</t>
  </si>
  <si>
    <t>MESS WISE REPORT-SANNASI MESS</t>
  </si>
  <si>
    <t>MESS WISE REPORT-D- MESS</t>
  </si>
  <si>
    <t>MESS WISE REPORT-SENBAGAM MESS</t>
  </si>
  <si>
    <t>MESS WISE REPORT-J-MESS</t>
  </si>
  <si>
    <t>MESS WISE REPORT-MEENAKSHI MESS</t>
  </si>
  <si>
    <t>MESS WISE REPORT-STAFF MESS</t>
  </si>
  <si>
    <t>MESS WISE REPORT</t>
  </si>
  <si>
    <t>SRM IST MESS PLATE COUNT-2023 To 2024</t>
  </si>
  <si>
    <t>Plate Count</t>
  </si>
  <si>
    <t>Food Wastage</t>
  </si>
  <si>
    <t xml:space="preserve"> ALL MESS PLATE COUNT&amp; FOOD WASTAGE -APRIL TO MARCH-2023-2024</t>
  </si>
  <si>
    <t>Percantage of Food Wastage %</t>
  </si>
  <si>
    <t>MONTH WISE AVERAGE</t>
  </si>
  <si>
    <t>PERCEANTAGE OF FOOD WASTAGE-APRIL TO MARCH-2023 TO 2024</t>
  </si>
  <si>
    <t>STUDENT PLATE COUNT REPORT-APRIL TO MARCH-2023-2024</t>
  </si>
  <si>
    <t>PLATE COUNT REPORT-SANNASI MESS</t>
  </si>
  <si>
    <t>Total Plate Count</t>
  </si>
  <si>
    <t xml:space="preserve"> SANNASI -MESS PLATE COUNT&amp; FOOD WASTAGE -APRIL TO MARCH-2023-2024</t>
  </si>
  <si>
    <t>SANNASI MESS-PERCEANTAGE OF FOOD WASTAGE-APRIL TO MARCH-2023 TO 2024</t>
  </si>
  <si>
    <t>PLATE COUNT REPORT-D- MESS</t>
  </si>
  <si>
    <t>YEAR WISE FOOE WASTAGE  -D-MESS                                                              (APRIL TO MARCH-2023 TO 2024)</t>
  </si>
  <si>
    <t>PLATE COUNT REPORT-SENBAGAM MESS</t>
  </si>
  <si>
    <t>PLATE COUNT REPORT-J- MESS</t>
  </si>
  <si>
    <t>YEAR WISE FOOE WASTAGE  -J-MESS                                                              (APRIL TO MARCH-2023 TO 2024)</t>
  </si>
  <si>
    <t>PLATE COUNT REPORT-MEENAKSHI MESS</t>
  </si>
  <si>
    <t xml:space="preserve"> MEENAKSHI MESS -MESS PLATE COUNT&amp; FOOD WASTAGE -APRIL TO MARCH-2023-2024</t>
  </si>
  <si>
    <t>MEENAKSHI MESS-PERCEANTAGE OF FOOD WASTAGE-APRIL TO MARCH-2023 TO 2024</t>
  </si>
  <si>
    <t>PLATE COUNT REPORT-STAFF MESS</t>
  </si>
  <si>
    <t xml:space="preserve"> D -MESS PLATE COUNT&amp; FOOD WASTAGE -APRIL TO MARCH-2023-2024</t>
  </si>
  <si>
    <t>D- MESS-PERCEANTAGE OF FOOD WASTAGE-APRIL TO MARCH-2023 TO 2024</t>
  </si>
  <si>
    <t xml:space="preserve"> SENBAGAM -MESS PLATE COUNT&amp; FOOD WASTAGE -APRIL TO MARCH-2023-2024</t>
  </si>
  <si>
    <t>SENBAGAM MESS-PERCEANTAGE OF FOOD WASTAGE-APRIL TO MARCH-2023 TO 2024</t>
  </si>
  <si>
    <t>DESCRIPTION</t>
  </si>
  <si>
    <t xml:space="preserve"> J -MESS PLATE COUNT&amp; FOOD WASTAGE -APRIL TO MARCH-2023-2024</t>
  </si>
  <si>
    <t>J- MESS-PERCEANTAGE OF FOOD WASTAGE-APRIL TO MARCH-2023 TO 2024</t>
  </si>
  <si>
    <t>YEAR WISE FOOE WASTAGE  -MEENAKSHI-MESS                                                              (APRIL TO MARCH-2023 TO 2024)</t>
  </si>
  <si>
    <t xml:space="preserve"> STAFF MESS -MESS PLATE COUNT&amp; FOOD WASTAGE -APRIL TO MARCH-2023-2024</t>
  </si>
  <si>
    <t>STAFF MESS-PERCEANTAGE OF FOOD WASTAGE-APRIL TO MARCH-2023 TO 2024</t>
  </si>
  <si>
    <t>YEAR WISE FOOE WASTAGE  -STAFF MESS                                                             (APRIL TO MARCH-2023 TO 2024)</t>
  </si>
  <si>
    <t>FOOD WASTAGE REPORT-APRIL TO MARCH-2023-2024</t>
  </si>
  <si>
    <t>Snacks with Tea</t>
  </si>
  <si>
    <t>FOOD WASTAGE  REPORT-APRIL TO MARCH-2023-2024</t>
  </si>
  <si>
    <t>STAFF  PLATE COUNT REPORT-APRIL TO MARCH-2023-2024</t>
  </si>
  <si>
    <t>SANNASI  MESS</t>
  </si>
  <si>
    <t xml:space="preserve"> SANNASI MESS -Percantage of Food Wastage %</t>
  </si>
  <si>
    <t>D- MESS -Percantage of Food Wastage %</t>
  </si>
  <si>
    <t>SENBAGAM- MESS -Percantage of Food Wastage %</t>
  </si>
  <si>
    <t>J- MESS -Percantage of Food Wastage %</t>
  </si>
  <si>
    <t>MEENAKSHI- MESS -Percantage of Food Wastage %</t>
  </si>
  <si>
    <t>STAFF- MESS -Percantage of Food Wastage %</t>
  </si>
  <si>
    <t>PLATE COUNT REPORT -APRIL TO MARCH-2023 TO 2024</t>
  </si>
  <si>
    <t>FOOD WASTAGE- REPORT -APRIL TO MARCH-2023 TO 2024</t>
  </si>
  <si>
    <t>PERCEANTAGE OF FOOD WASTAGE-(APRIL To MARCH-2023 TO 2024)</t>
  </si>
  <si>
    <t>YEAR WISE FOOE WASTAGE    SANNAI MESS                                                                                                                   (APRIL TO MARCH-2023 TO 2024)</t>
  </si>
  <si>
    <t>YEAR WISE FOOE WASTAGE  -SENBAGAM-MESS                                                                                           (APRIL TO MARCH-2023 TO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</si>
</sst>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" fontId="3" fillId="0" borderId="2" xfId="0" applyNumberFormat="1" applyFont="1" applyBorder="1" applyAlignment="1">
      <alignment horizontal="center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1" fontId="0" fillId="0" borderId="8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1" fillId="0" borderId="19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1" fillId="0" borderId="2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10" sqref="D10"/>
    </sheetView>
  </sheetViews>
  <sheetFormatPr defaultColWidth="12.33203125" defaultRowHeight="27.75" customHeight="1" x14ac:dyDescent="0.3"/>
  <cols>
    <col min="7" max="7" width="14.441406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28</v>
      </c>
      <c r="B2" s="77"/>
      <c r="C2" s="77"/>
      <c r="D2" s="77"/>
      <c r="E2" s="77"/>
      <c r="F2" s="77"/>
      <c r="G2" s="78"/>
    </row>
    <row r="3" spans="1:7" ht="27.7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7.75" customHeight="1" x14ac:dyDescent="0.3">
      <c r="A4" s="3">
        <v>1</v>
      </c>
      <c r="B4" s="2" t="s">
        <v>5</v>
      </c>
      <c r="C4" s="1">
        <v>1427</v>
      </c>
      <c r="D4" s="1">
        <v>10643</v>
      </c>
      <c r="E4" s="1">
        <v>0</v>
      </c>
      <c r="F4" s="1">
        <v>10890</v>
      </c>
      <c r="G4" s="4">
        <f>SUM(C4:F4)</f>
        <v>22960</v>
      </c>
    </row>
    <row r="5" spans="1:7" ht="27.75" customHeight="1" x14ac:dyDescent="0.3">
      <c r="A5" s="3">
        <v>2</v>
      </c>
      <c r="B5" s="2" t="s">
        <v>6</v>
      </c>
      <c r="C5" s="1">
        <v>1280</v>
      </c>
      <c r="D5" s="1">
        <v>10980</v>
      </c>
      <c r="E5" s="1">
        <v>0</v>
      </c>
      <c r="F5" s="1">
        <v>11785</v>
      </c>
      <c r="G5" s="4">
        <f t="shared" ref="G5:G15" si="0">SUM(C5:F5)</f>
        <v>24045</v>
      </c>
    </row>
    <row r="6" spans="1:7" ht="27.75" customHeight="1" x14ac:dyDescent="0.3">
      <c r="A6" s="3">
        <v>3</v>
      </c>
      <c r="B6" s="2" t="s">
        <v>7</v>
      </c>
      <c r="C6" s="1">
        <v>542</v>
      </c>
      <c r="D6" s="1">
        <v>4729</v>
      </c>
      <c r="E6" s="1">
        <v>0</v>
      </c>
      <c r="F6" s="1">
        <v>5537</v>
      </c>
      <c r="G6" s="4">
        <f t="shared" si="0"/>
        <v>10808</v>
      </c>
    </row>
    <row r="7" spans="1:7" ht="27.75" customHeight="1" x14ac:dyDescent="0.3">
      <c r="A7" s="3">
        <v>4</v>
      </c>
      <c r="B7" s="2" t="s">
        <v>8</v>
      </c>
      <c r="C7" s="1">
        <v>1483</v>
      </c>
      <c r="D7" s="1">
        <v>2564</v>
      </c>
      <c r="E7" s="1">
        <v>0</v>
      </c>
      <c r="F7" s="1">
        <v>2478</v>
      </c>
      <c r="G7" s="4">
        <f t="shared" si="0"/>
        <v>6525</v>
      </c>
    </row>
    <row r="8" spans="1:7" ht="27.75" customHeight="1" x14ac:dyDescent="0.3">
      <c r="A8" s="3">
        <v>5</v>
      </c>
      <c r="B8" s="2" t="s">
        <v>9</v>
      </c>
      <c r="C8" s="1">
        <v>1147</v>
      </c>
      <c r="D8" s="1">
        <v>4944</v>
      </c>
      <c r="E8" s="1">
        <v>0</v>
      </c>
      <c r="F8" s="1">
        <v>5520</v>
      </c>
      <c r="G8" s="4">
        <f t="shared" si="0"/>
        <v>11611</v>
      </c>
    </row>
    <row r="9" spans="1:7" ht="27.75" customHeight="1" x14ac:dyDescent="0.3">
      <c r="A9" s="3">
        <v>6</v>
      </c>
      <c r="B9" s="2" t="s">
        <v>10</v>
      </c>
      <c r="C9" s="1">
        <v>954</v>
      </c>
      <c r="D9" s="1">
        <v>4156</v>
      </c>
      <c r="E9" s="1">
        <v>0</v>
      </c>
      <c r="F9" s="1">
        <v>5026</v>
      </c>
      <c r="G9" s="4">
        <f t="shared" si="0"/>
        <v>10136</v>
      </c>
    </row>
    <row r="10" spans="1:7" ht="27.75" customHeight="1" x14ac:dyDescent="0.3">
      <c r="A10" s="3">
        <v>7</v>
      </c>
      <c r="B10" s="2" t="s">
        <v>11</v>
      </c>
      <c r="C10" s="1">
        <v>894</v>
      </c>
      <c r="D10" s="1">
        <v>4514</v>
      </c>
      <c r="E10" s="1">
        <v>0</v>
      </c>
      <c r="F10" s="1">
        <v>5478</v>
      </c>
      <c r="G10" s="4">
        <f t="shared" si="0"/>
        <v>10886</v>
      </c>
    </row>
    <row r="11" spans="1:7" ht="27.75" customHeight="1" x14ac:dyDescent="0.3">
      <c r="A11" s="3">
        <v>8</v>
      </c>
      <c r="B11" s="2" t="s">
        <v>12</v>
      </c>
      <c r="C11" s="1">
        <v>1041</v>
      </c>
      <c r="D11" s="1">
        <v>4501</v>
      </c>
      <c r="E11" s="1">
        <v>0</v>
      </c>
      <c r="F11" s="1">
        <v>5820</v>
      </c>
      <c r="G11" s="4">
        <f t="shared" si="0"/>
        <v>11362</v>
      </c>
    </row>
    <row r="12" spans="1:7" ht="27.75" customHeight="1" x14ac:dyDescent="0.3">
      <c r="A12" s="3">
        <v>9</v>
      </c>
      <c r="B12" s="2" t="s">
        <v>13</v>
      </c>
      <c r="C12" s="1">
        <v>694</v>
      </c>
      <c r="D12" s="1">
        <v>3254</v>
      </c>
      <c r="E12" s="1">
        <v>0</v>
      </c>
      <c r="F12" s="1">
        <v>4447</v>
      </c>
      <c r="G12" s="4">
        <f t="shared" si="0"/>
        <v>8395</v>
      </c>
    </row>
    <row r="13" spans="1:7" ht="27.75" customHeight="1" x14ac:dyDescent="0.3">
      <c r="A13" s="3">
        <v>10</v>
      </c>
      <c r="B13" s="2" t="s">
        <v>14</v>
      </c>
      <c r="C13" s="1">
        <v>765</v>
      </c>
      <c r="D13" s="1">
        <v>3937</v>
      </c>
      <c r="E13" s="1">
        <v>0</v>
      </c>
      <c r="F13" s="1">
        <v>4753</v>
      </c>
      <c r="G13" s="4">
        <f t="shared" si="0"/>
        <v>9455</v>
      </c>
    </row>
    <row r="14" spans="1:7" ht="27.75" customHeight="1" x14ac:dyDescent="0.3">
      <c r="A14" s="3">
        <v>11</v>
      </c>
      <c r="B14" s="2" t="s">
        <v>15</v>
      </c>
      <c r="C14" s="1">
        <v>1120</v>
      </c>
      <c r="D14" s="1">
        <v>3907</v>
      </c>
      <c r="E14" s="1">
        <v>0</v>
      </c>
      <c r="F14" s="1">
        <v>5306</v>
      </c>
      <c r="G14" s="4">
        <f t="shared" si="0"/>
        <v>10333</v>
      </c>
    </row>
    <row r="15" spans="1:7" ht="27.75" customHeight="1" x14ac:dyDescent="0.3">
      <c r="A15" s="3">
        <v>12</v>
      </c>
      <c r="B15" s="2" t="s">
        <v>27</v>
      </c>
      <c r="C15" s="1">
        <v>876</v>
      </c>
      <c r="D15" s="1">
        <v>4498</v>
      </c>
      <c r="E15" s="1">
        <v>0</v>
      </c>
      <c r="F15" s="1">
        <v>5796</v>
      </c>
      <c r="G15" s="4">
        <f t="shared" si="0"/>
        <v>11170</v>
      </c>
    </row>
    <row r="16" spans="1:7" ht="27.75" customHeight="1" x14ac:dyDescent="0.3">
      <c r="A16" s="5"/>
      <c r="B16" s="9" t="s">
        <v>16</v>
      </c>
      <c r="C16" s="9">
        <f>SUBTOTAL(9,C4:C15)</f>
        <v>12223</v>
      </c>
      <c r="D16" s="9">
        <f t="shared" ref="D16:G16" si="1">SUBTOTAL(9,D4:D15)</f>
        <v>62627</v>
      </c>
      <c r="E16" s="9">
        <f t="shared" si="1"/>
        <v>0</v>
      </c>
      <c r="F16" s="9">
        <f t="shared" si="1"/>
        <v>72836</v>
      </c>
      <c r="G16" s="10">
        <f t="shared" si="1"/>
        <v>147686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2" sqref="D12"/>
    </sheetView>
  </sheetViews>
  <sheetFormatPr defaultRowHeight="23.25" customHeight="1" x14ac:dyDescent="0.3"/>
  <cols>
    <col min="2" max="7" width="12.88671875" customWidth="1"/>
  </cols>
  <sheetData>
    <row r="1" spans="1:7" ht="23.25" customHeight="1" x14ac:dyDescent="0.3">
      <c r="A1" s="73" t="s">
        <v>42</v>
      </c>
      <c r="B1" s="74"/>
      <c r="C1" s="74"/>
      <c r="D1" s="74"/>
      <c r="E1" s="74"/>
      <c r="F1" s="74"/>
      <c r="G1" s="75"/>
    </row>
    <row r="2" spans="1:7" ht="23.25" customHeight="1" x14ac:dyDescent="0.3">
      <c r="A2" s="76" t="s">
        <v>43</v>
      </c>
      <c r="B2" s="77"/>
      <c r="C2" s="77"/>
      <c r="D2" s="77"/>
      <c r="E2" s="77"/>
      <c r="F2" s="77"/>
      <c r="G2" s="78"/>
    </row>
    <row r="3" spans="1:7" ht="35.25" customHeight="1" x14ac:dyDescent="0.3">
      <c r="A3" s="7" t="s">
        <v>4</v>
      </c>
      <c r="B3" s="6" t="s">
        <v>25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44</v>
      </c>
    </row>
    <row r="4" spans="1:7" ht="23.25" customHeight="1" x14ac:dyDescent="0.3">
      <c r="A4" s="3">
        <v>1</v>
      </c>
      <c r="B4" s="2" t="s">
        <v>5</v>
      </c>
      <c r="C4" s="1">
        <v>48200</v>
      </c>
      <c r="D4" s="1">
        <v>121200</v>
      </c>
      <c r="E4" s="1">
        <v>130150</v>
      </c>
      <c r="F4" s="1">
        <v>130150</v>
      </c>
      <c r="G4" s="4">
        <f>SUM(C4:F4)</f>
        <v>429700</v>
      </c>
    </row>
    <row r="5" spans="1:7" ht="23.25" customHeight="1" x14ac:dyDescent="0.3">
      <c r="A5" s="3">
        <v>2</v>
      </c>
      <c r="B5" s="2" t="s">
        <v>6</v>
      </c>
      <c r="C5" s="1">
        <v>50086</v>
      </c>
      <c r="D5" s="1">
        <v>107468</v>
      </c>
      <c r="E5" s="1">
        <v>115715</v>
      </c>
      <c r="F5" s="1">
        <v>115715</v>
      </c>
      <c r="G5" s="4">
        <f t="shared" ref="G5:G15" si="0">SUM(C5:F5)</f>
        <v>388984</v>
      </c>
    </row>
    <row r="6" spans="1:7" ht="23.25" customHeight="1" x14ac:dyDescent="0.3">
      <c r="A6" s="3">
        <v>3</v>
      </c>
      <c r="B6" s="2" t="s">
        <v>7</v>
      </c>
      <c r="C6" s="1">
        <v>23055</v>
      </c>
      <c r="D6" s="1">
        <v>30900</v>
      </c>
      <c r="E6" s="1">
        <v>29387</v>
      </c>
      <c r="F6" s="1">
        <v>29387</v>
      </c>
      <c r="G6" s="4">
        <f t="shared" si="0"/>
        <v>112729</v>
      </c>
    </row>
    <row r="7" spans="1:7" ht="23.25" customHeight="1" x14ac:dyDescent="0.3">
      <c r="A7" s="3">
        <v>4</v>
      </c>
      <c r="B7" s="2" t="s">
        <v>8</v>
      </c>
      <c r="C7" s="1">
        <v>12800</v>
      </c>
      <c r="D7" s="1">
        <v>13840</v>
      </c>
      <c r="E7" s="1">
        <v>13830</v>
      </c>
      <c r="F7" s="1">
        <v>13930</v>
      </c>
      <c r="G7" s="4">
        <f t="shared" si="0"/>
        <v>54400</v>
      </c>
    </row>
    <row r="8" spans="1:7" ht="23.25" customHeight="1" x14ac:dyDescent="0.3">
      <c r="A8" s="3">
        <v>5</v>
      </c>
      <c r="B8" s="2" t="s">
        <v>9</v>
      </c>
      <c r="C8" s="1">
        <v>78261</v>
      </c>
      <c r="D8" s="1">
        <v>148950</v>
      </c>
      <c r="E8" s="1">
        <v>155693</v>
      </c>
      <c r="F8" s="1">
        <v>161800</v>
      </c>
      <c r="G8" s="4">
        <f t="shared" si="0"/>
        <v>544704</v>
      </c>
    </row>
    <row r="9" spans="1:7" ht="23.25" customHeight="1" x14ac:dyDescent="0.3">
      <c r="A9" s="3">
        <v>6</v>
      </c>
      <c r="B9" s="2" t="s">
        <v>10</v>
      </c>
      <c r="C9" s="1">
        <v>70200</v>
      </c>
      <c r="D9" s="1">
        <v>137020</v>
      </c>
      <c r="E9" s="1">
        <v>147900</v>
      </c>
      <c r="F9" s="1">
        <v>149800</v>
      </c>
      <c r="G9" s="4">
        <f t="shared" si="0"/>
        <v>504920</v>
      </c>
    </row>
    <row r="10" spans="1:7" ht="23.25" customHeight="1" x14ac:dyDescent="0.3">
      <c r="A10" s="3">
        <v>7</v>
      </c>
      <c r="B10" s="2" t="s">
        <v>11</v>
      </c>
      <c r="C10" s="1">
        <v>69470</v>
      </c>
      <c r="D10" s="1">
        <v>143600</v>
      </c>
      <c r="E10" s="1">
        <v>155150</v>
      </c>
      <c r="F10" s="1">
        <v>155150</v>
      </c>
      <c r="G10" s="4">
        <f t="shared" si="0"/>
        <v>523370</v>
      </c>
    </row>
    <row r="11" spans="1:7" ht="23.25" customHeight="1" x14ac:dyDescent="0.3">
      <c r="A11" s="3">
        <v>8</v>
      </c>
      <c r="B11" s="2" t="s">
        <v>12</v>
      </c>
      <c r="C11" s="1">
        <v>66970</v>
      </c>
      <c r="D11" s="1">
        <v>147220</v>
      </c>
      <c r="E11" s="1">
        <v>166910</v>
      </c>
      <c r="F11" s="1">
        <v>166910</v>
      </c>
      <c r="G11" s="4">
        <f t="shared" si="0"/>
        <v>548010</v>
      </c>
    </row>
    <row r="12" spans="1:7" ht="23.25" customHeight="1" x14ac:dyDescent="0.3">
      <c r="A12" s="3">
        <v>9</v>
      </c>
      <c r="B12" s="2" t="s">
        <v>13</v>
      </c>
      <c r="C12" s="1">
        <v>41510</v>
      </c>
      <c r="D12" s="1">
        <v>85051</v>
      </c>
      <c r="E12" s="1">
        <v>78921</v>
      </c>
      <c r="F12" s="1">
        <v>79121</v>
      </c>
      <c r="G12" s="4">
        <f t="shared" si="0"/>
        <v>284603</v>
      </c>
    </row>
    <row r="13" spans="1:7" ht="23.25" customHeight="1" x14ac:dyDescent="0.3">
      <c r="A13" s="3">
        <v>10</v>
      </c>
      <c r="B13" s="2" t="s">
        <v>14</v>
      </c>
      <c r="C13" s="1">
        <v>63766</v>
      </c>
      <c r="D13" s="1">
        <v>120981</v>
      </c>
      <c r="E13" s="1">
        <v>112366</v>
      </c>
      <c r="F13" s="1">
        <v>113466</v>
      </c>
      <c r="G13" s="4">
        <f t="shared" si="0"/>
        <v>410579</v>
      </c>
    </row>
    <row r="14" spans="1:7" ht="23.25" customHeight="1" x14ac:dyDescent="0.3">
      <c r="A14" s="3">
        <v>11</v>
      </c>
      <c r="B14" s="2" t="s">
        <v>15</v>
      </c>
      <c r="C14" s="1">
        <v>54206</v>
      </c>
      <c r="D14" s="1">
        <v>155689</v>
      </c>
      <c r="E14" s="1">
        <v>168926</v>
      </c>
      <c r="F14" s="1">
        <v>165326</v>
      </c>
      <c r="G14" s="4">
        <f t="shared" si="0"/>
        <v>544147</v>
      </c>
    </row>
    <row r="15" spans="1:7" ht="23.25" customHeight="1" x14ac:dyDescent="0.3">
      <c r="A15" s="3">
        <v>12</v>
      </c>
      <c r="B15" s="2" t="s">
        <v>27</v>
      </c>
      <c r="C15" s="1">
        <v>51533</v>
      </c>
      <c r="D15" s="1">
        <v>162869</v>
      </c>
      <c r="E15" s="1">
        <v>171597</v>
      </c>
      <c r="F15" s="1">
        <v>171598</v>
      </c>
      <c r="G15" s="4">
        <f t="shared" si="0"/>
        <v>557597</v>
      </c>
    </row>
    <row r="16" spans="1:7" ht="23.25" customHeight="1" thickBot="1" x14ac:dyDescent="0.35">
      <c r="A16" s="5"/>
      <c r="B16" s="9" t="s">
        <v>16</v>
      </c>
      <c r="C16" s="9">
        <f>SUBTOTAL(9,C4:C15)</f>
        <v>630057</v>
      </c>
      <c r="D16" s="9">
        <f t="shared" ref="D16:G16" si="1">SUBTOTAL(9,D4:D15)</f>
        <v>1374788</v>
      </c>
      <c r="E16" s="9">
        <f t="shared" si="1"/>
        <v>1446545</v>
      </c>
      <c r="F16" s="9">
        <f t="shared" si="1"/>
        <v>1452353</v>
      </c>
      <c r="G16" s="10">
        <f t="shared" si="1"/>
        <v>4903743</v>
      </c>
    </row>
    <row r="17" spans="2:7" ht="23.25" customHeight="1" x14ac:dyDescent="0.3">
      <c r="B17" s="20"/>
      <c r="C17" s="16"/>
      <c r="D17" s="20"/>
      <c r="E17" s="20"/>
      <c r="F17" s="20"/>
      <c r="G17" s="20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"/>
  <sheetViews>
    <sheetView workbookViewId="0">
      <selection activeCell="P18" sqref="P18:T18"/>
    </sheetView>
  </sheetViews>
  <sheetFormatPr defaultRowHeight="35.25" customHeight="1" x14ac:dyDescent="0.3"/>
  <cols>
    <col min="2" max="2" width="13.33203125" customWidth="1"/>
    <col min="3" max="15" width="12.88671875" customWidth="1"/>
    <col min="16" max="16" width="14.5546875" customWidth="1"/>
    <col min="17" max="20" width="11.5546875" customWidth="1"/>
    <col min="21" max="21" width="14.5546875" customWidth="1"/>
  </cols>
  <sheetData>
    <row r="1" spans="1:21" ht="35.2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5.25" customHeight="1" x14ac:dyDescent="0.3">
      <c r="A2" s="76" t="s">
        <v>45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47.25" customHeight="1" x14ac:dyDescent="0.3">
      <c r="A3" s="7"/>
      <c r="C3" s="47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78"/>
    </row>
    <row r="4" spans="1:21" ht="35.25" customHeight="1" x14ac:dyDescent="0.3">
      <c r="A4" s="7" t="s">
        <v>4</v>
      </c>
      <c r="B4" s="19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9"/>
      <c r="P4" s="79" t="s">
        <v>46</v>
      </c>
      <c r="Q4" s="79"/>
      <c r="R4" s="79"/>
      <c r="S4" s="79"/>
      <c r="T4" s="79"/>
      <c r="U4" s="79"/>
    </row>
    <row r="5" spans="1:21" ht="35.25" customHeight="1" x14ac:dyDescent="0.3">
      <c r="A5" s="3">
        <v>1</v>
      </c>
      <c r="B5" s="2" t="s">
        <v>5</v>
      </c>
      <c r="C5" s="1">
        <f>VLOOKUP($B$5:$B$16,'PLATE COUNT -SANNAI MESS'!$B$4:$F$15,2,0)</f>
        <v>48200</v>
      </c>
      <c r="D5" s="1">
        <f>VLOOKUP($B$5:$B$16,'FOOD WASTAGE-SANNAI MESS'!$B$4:$F$15,2,0)</f>
        <v>1427</v>
      </c>
      <c r="E5" s="13">
        <f>SUM(D5/C5*100)</f>
        <v>2.9605809128630707</v>
      </c>
      <c r="F5" s="1">
        <f>VLOOKUP($B$5:$B$16,'PLATE COUNT -SANNAI MESS'!$B$4:$F$15,3,0)</f>
        <v>121200</v>
      </c>
      <c r="G5" s="1">
        <f>VLOOKUP($B$5:$B$16,'FOOD WASTAGE-SANNAI MESS'!$B$4:$F$15,3,0)</f>
        <v>10643</v>
      </c>
      <c r="H5" s="13">
        <f>SUM(G5/F5*100)</f>
        <v>8.7813531353135321</v>
      </c>
      <c r="I5" s="1">
        <f>VLOOKUP($B$5:$B$16,'PLATE COUNT -SANNAI MESS'!$B$4:$F$15,4,0)</f>
        <v>130150</v>
      </c>
      <c r="J5" s="1">
        <f>VLOOKUP($B$5:$B$16,'FOOD WASTAGE-SANNAI MESS'!$B$4:$F$15,4,0)</f>
        <v>0</v>
      </c>
      <c r="K5" s="1" t="str">
        <f>IFERROR(SUM(I5/J5),"0")</f>
        <v>0</v>
      </c>
      <c r="L5" s="1">
        <f>VLOOKUP($B$5:$B$16,'PLATE COUNT -SANNAI MESS'!$B$4:$F$15,5,0)</f>
        <v>130150</v>
      </c>
      <c r="M5" s="1">
        <f>VLOOKUP($B$5:$B$16,'FOOD WASTAGE-SANNAI MESS'!$B$4:$F$15,5,0)</f>
        <v>10890</v>
      </c>
      <c r="N5" s="64">
        <f>SUM(M5/L5*100)</f>
        <v>8.3672685363042643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21" t="s">
        <v>40</v>
      </c>
    </row>
    <row r="6" spans="1:21" ht="35.25" customHeight="1" x14ac:dyDescent="0.3">
      <c r="A6" s="3">
        <v>2</v>
      </c>
      <c r="B6" s="2" t="s">
        <v>6</v>
      </c>
      <c r="C6" s="1">
        <f>VLOOKUP($B$5:$B$16,'PLATE COUNT -SANNAI MESS'!$B$4:$F$15,2,0)</f>
        <v>50086</v>
      </c>
      <c r="D6" s="1">
        <f>VLOOKUP($B$5:$B$16,'FOOD WASTAGE-SANNAI MESS'!$B$4:$F$15,2,0)</f>
        <v>1280</v>
      </c>
      <c r="E6" s="13">
        <f t="shared" ref="E6:E16" si="0">SUM(D6/C6*100)</f>
        <v>2.5556043604999403</v>
      </c>
      <c r="F6" s="1">
        <f>VLOOKUP($B$5:$B$16,'PLATE COUNT -SANNAI MESS'!$B$4:$F$15,3,0)</f>
        <v>107468</v>
      </c>
      <c r="G6" s="1">
        <f>VLOOKUP($B$5:$B$16,'FOOD WASTAGE-SANNAI MESS'!$B$4:$F$15,3,0)</f>
        <v>10980</v>
      </c>
      <c r="H6" s="13">
        <f t="shared" ref="H6:H16" si="1">SUM(G6/F6*100)</f>
        <v>10.216994826366918</v>
      </c>
      <c r="I6" s="1">
        <f>VLOOKUP($B$5:$B$16,'PLATE COUNT -SANNAI MESS'!$B$4:$F$15,4,0)</f>
        <v>115715</v>
      </c>
      <c r="J6" s="1">
        <f>VLOOKUP($B$5:$B$16,'FOOD WASTAGE-SANNAI MESS'!$B$4:$F$15,4,0)</f>
        <v>0</v>
      </c>
      <c r="K6" s="1" t="str">
        <f t="shared" ref="K6:K16" si="2">IFERROR(SUM(I6/J6),"0")</f>
        <v>0</v>
      </c>
      <c r="L6" s="1">
        <f>VLOOKUP($B$5:$B$16,'PLATE COUNT -SANNAI MESS'!$B$4:$F$15,5,0)</f>
        <v>115715</v>
      </c>
      <c r="M6" s="1">
        <f>VLOOKUP($B$5:$B$16,'FOOD WASTAGE-SANNAI MESS'!$B$4:$F$15,5,0)</f>
        <v>11785</v>
      </c>
      <c r="N6" s="64">
        <f t="shared" ref="N6:N16" si="3">SUM(M6/L6*100)</f>
        <v>10.184505033919544</v>
      </c>
      <c r="O6" s="67"/>
      <c r="P6" s="2" t="s">
        <v>5</v>
      </c>
      <c r="Q6" s="13">
        <f t="shared" ref="Q6:Q17" si="4">VLOOKUP($P$6:$P$17,$B$4:$N$16,4,0)</f>
        <v>2.9605809128630707</v>
      </c>
      <c r="R6" s="13">
        <f t="shared" ref="R6:R17" si="5">VLOOKUP($P$6:$P$17,$B$4:$N$16,7,0)</f>
        <v>8.7813531353135321</v>
      </c>
      <c r="S6" s="13" t="str">
        <f t="shared" ref="S6:S17" si="6">VLOOKUP($P$6:$P$17,$B$4:$N$16,10,0)</f>
        <v>0</v>
      </c>
      <c r="T6" s="13">
        <f t="shared" ref="T6:T17" si="7">VLOOKUP($P$6:$P$17,$B$4:$N$16,13,0)</f>
        <v>8.3672685363042643</v>
      </c>
      <c r="U6" s="14">
        <f>SUM(Q6:T6)/4</f>
        <v>5.0273006461202172</v>
      </c>
    </row>
    <row r="7" spans="1:21" ht="35.25" customHeight="1" x14ac:dyDescent="0.3">
      <c r="A7" s="3">
        <v>3</v>
      </c>
      <c r="B7" s="2" t="s">
        <v>7</v>
      </c>
      <c r="C7" s="1">
        <f>VLOOKUP($B$5:$B$16,'PLATE COUNT -SANNAI MESS'!$B$4:$F$15,2,0)</f>
        <v>23055</v>
      </c>
      <c r="D7" s="1">
        <f>VLOOKUP($B$5:$B$16,'FOOD WASTAGE-SANNAI MESS'!$B$4:$F$15,2,0)</f>
        <v>542</v>
      </c>
      <c r="E7" s="13">
        <f t="shared" si="0"/>
        <v>2.3509000216872695</v>
      </c>
      <c r="F7" s="1">
        <f>VLOOKUP($B$5:$B$16,'PLATE COUNT -SANNAI MESS'!$B$4:$F$15,3,0)</f>
        <v>30900</v>
      </c>
      <c r="G7" s="1">
        <f>VLOOKUP($B$5:$B$16,'FOOD WASTAGE-SANNAI MESS'!$B$4:$F$15,3,0)</f>
        <v>4729</v>
      </c>
      <c r="H7" s="13">
        <f t="shared" si="1"/>
        <v>15.3042071197411</v>
      </c>
      <c r="I7" s="1">
        <f>VLOOKUP($B$5:$B$16,'PLATE COUNT -SANNAI MESS'!$B$4:$F$15,4,0)</f>
        <v>29387</v>
      </c>
      <c r="J7" s="1">
        <f>VLOOKUP($B$5:$B$16,'FOOD WASTAGE-SANNAI MESS'!$B$4:$F$15,4,0)</f>
        <v>0</v>
      </c>
      <c r="K7" s="1" t="str">
        <f t="shared" si="2"/>
        <v>0</v>
      </c>
      <c r="L7" s="1">
        <f>VLOOKUP($B$5:$B$16,'PLATE COUNT -SANNAI MESS'!$B$4:$F$15,5,0)</f>
        <v>29387</v>
      </c>
      <c r="M7" s="1">
        <f>VLOOKUP($B$5:$B$16,'FOOD WASTAGE-SANNAI MESS'!$B$4:$F$15,5,0)</f>
        <v>5537</v>
      </c>
      <c r="N7" s="64">
        <f t="shared" si="3"/>
        <v>18.84166468166196</v>
      </c>
      <c r="O7" s="67"/>
      <c r="P7" s="2" t="s">
        <v>6</v>
      </c>
      <c r="Q7" s="13">
        <f t="shared" si="4"/>
        <v>2.5556043604999403</v>
      </c>
      <c r="R7" s="13">
        <f t="shared" si="5"/>
        <v>10.216994826366918</v>
      </c>
      <c r="S7" s="13" t="str">
        <f t="shared" si="6"/>
        <v>0</v>
      </c>
      <c r="T7" s="13">
        <f t="shared" si="7"/>
        <v>10.184505033919544</v>
      </c>
      <c r="U7" s="14">
        <f t="shared" ref="U7:U17" si="8">SUM(Q7:T7)/4</f>
        <v>5.7392760551966004</v>
      </c>
    </row>
    <row r="8" spans="1:21" ht="35.25" customHeight="1" x14ac:dyDescent="0.3">
      <c r="A8" s="3">
        <v>4</v>
      </c>
      <c r="B8" s="2" t="s">
        <v>8</v>
      </c>
      <c r="C8" s="1">
        <f>VLOOKUP($B$5:$B$16,'PLATE COUNT -SANNAI MESS'!$B$4:$F$15,2,0)</f>
        <v>12800</v>
      </c>
      <c r="D8" s="1">
        <f>VLOOKUP($B$5:$B$16,'FOOD WASTAGE-SANNAI MESS'!$B$4:$F$15,2,0)</f>
        <v>1483</v>
      </c>
      <c r="E8" s="13">
        <f t="shared" si="0"/>
        <v>11.5859375</v>
      </c>
      <c r="F8" s="1">
        <f>VLOOKUP($B$5:$B$16,'PLATE COUNT -SANNAI MESS'!$B$4:$F$15,3,0)</f>
        <v>13840</v>
      </c>
      <c r="G8" s="1">
        <f>VLOOKUP($B$5:$B$16,'FOOD WASTAGE-SANNAI MESS'!$B$4:$F$15,3,0)</f>
        <v>2564</v>
      </c>
      <c r="H8" s="13">
        <f t="shared" si="1"/>
        <v>18.526011560693643</v>
      </c>
      <c r="I8" s="1">
        <f>VLOOKUP($B$5:$B$16,'PLATE COUNT -SANNAI MESS'!$B$4:$F$15,4,0)</f>
        <v>13830</v>
      </c>
      <c r="J8" s="1">
        <f>VLOOKUP($B$5:$B$16,'FOOD WASTAGE-SANNAI MESS'!$B$4:$F$15,4,0)</f>
        <v>0</v>
      </c>
      <c r="K8" s="1" t="str">
        <f t="shared" si="2"/>
        <v>0</v>
      </c>
      <c r="L8" s="1">
        <f>VLOOKUP($B$5:$B$16,'PLATE COUNT -SANNAI MESS'!$B$4:$F$15,5,0)</f>
        <v>13930</v>
      </c>
      <c r="M8" s="1">
        <f>VLOOKUP($B$5:$B$16,'FOOD WASTAGE-SANNAI MESS'!$B$4:$F$15,5,0)</f>
        <v>2478</v>
      </c>
      <c r="N8" s="64">
        <f t="shared" si="3"/>
        <v>17.788944723618091</v>
      </c>
      <c r="O8" s="67"/>
      <c r="P8" s="2" t="s">
        <v>7</v>
      </c>
      <c r="Q8" s="13">
        <f t="shared" si="4"/>
        <v>2.3509000216872695</v>
      </c>
      <c r="R8" s="13">
        <f t="shared" si="5"/>
        <v>15.3042071197411</v>
      </c>
      <c r="S8" s="13" t="str">
        <f t="shared" si="6"/>
        <v>0</v>
      </c>
      <c r="T8" s="13">
        <f t="shared" si="7"/>
        <v>18.84166468166196</v>
      </c>
      <c r="U8" s="14">
        <f t="shared" si="8"/>
        <v>9.1241929557725818</v>
      </c>
    </row>
    <row r="9" spans="1:21" ht="35.25" customHeight="1" x14ac:dyDescent="0.3">
      <c r="A9" s="3">
        <v>5</v>
      </c>
      <c r="B9" s="2" t="s">
        <v>9</v>
      </c>
      <c r="C9" s="1">
        <f>VLOOKUP($B$5:$B$16,'PLATE COUNT -SANNAI MESS'!$B$4:$F$15,2,0)</f>
        <v>78261</v>
      </c>
      <c r="D9" s="1">
        <f>VLOOKUP($B$5:$B$16,'FOOD WASTAGE-SANNAI MESS'!$B$4:$F$15,2,0)</f>
        <v>1147</v>
      </c>
      <c r="E9" s="13">
        <f t="shared" si="0"/>
        <v>1.4656086684299972</v>
      </c>
      <c r="F9" s="1">
        <f>VLOOKUP($B$5:$B$16,'PLATE COUNT -SANNAI MESS'!$B$4:$F$15,3,0)</f>
        <v>148950</v>
      </c>
      <c r="G9" s="1">
        <f>VLOOKUP($B$5:$B$16,'FOOD WASTAGE-SANNAI MESS'!$B$4:$F$15,3,0)</f>
        <v>4944</v>
      </c>
      <c r="H9" s="13">
        <f t="shared" si="1"/>
        <v>3.3192346424974826</v>
      </c>
      <c r="I9" s="1">
        <f>VLOOKUP($B$5:$B$16,'PLATE COUNT -SANNAI MESS'!$B$4:$F$15,4,0)</f>
        <v>155693</v>
      </c>
      <c r="J9" s="1">
        <f>VLOOKUP($B$5:$B$16,'FOOD WASTAGE-SANNAI MESS'!$B$4:$F$15,4,0)</f>
        <v>0</v>
      </c>
      <c r="K9" s="1" t="str">
        <f t="shared" si="2"/>
        <v>0</v>
      </c>
      <c r="L9" s="1">
        <f>VLOOKUP($B$5:$B$16,'PLATE COUNT -SANNAI MESS'!$B$4:$F$15,5,0)</f>
        <v>161800</v>
      </c>
      <c r="M9" s="1">
        <f>VLOOKUP($B$5:$B$16,'FOOD WASTAGE-SANNAI MESS'!$B$4:$F$15,5,0)</f>
        <v>5520</v>
      </c>
      <c r="N9" s="64">
        <f t="shared" si="3"/>
        <v>3.4116192830655132</v>
      </c>
      <c r="O9" s="67"/>
      <c r="P9" s="2" t="s">
        <v>8</v>
      </c>
      <c r="Q9" s="13">
        <f t="shared" si="4"/>
        <v>11.5859375</v>
      </c>
      <c r="R9" s="13">
        <f t="shared" si="5"/>
        <v>18.526011560693643</v>
      </c>
      <c r="S9" s="13" t="str">
        <f t="shared" si="6"/>
        <v>0</v>
      </c>
      <c r="T9" s="13">
        <f t="shared" si="7"/>
        <v>17.788944723618091</v>
      </c>
      <c r="U9" s="14">
        <f t="shared" si="8"/>
        <v>11.975223446077933</v>
      </c>
    </row>
    <row r="10" spans="1:21" ht="35.25" customHeight="1" x14ac:dyDescent="0.3">
      <c r="A10" s="3">
        <v>6</v>
      </c>
      <c r="B10" s="2" t="s">
        <v>10</v>
      </c>
      <c r="C10" s="1">
        <f>VLOOKUP($B$5:$B$16,'PLATE COUNT -SANNAI MESS'!$B$4:$F$15,2,0)</f>
        <v>70200</v>
      </c>
      <c r="D10" s="1">
        <f>VLOOKUP($B$5:$B$16,'FOOD WASTAGE-SANNAI MESS'!$B$4:$F$15,2,0)</f>
        <v>954</v>
      </c>
      <c r="E10" s="13">
        <f t="shared" si="0"/>
        <v>1.358974358974359</v>
      </c>
      <c r="F10" s="1">
        <f>VLOOKUP($B$5:$B$16,'PLATE COUNT -SANNAI MESS'!$B$4:$F$15,3,0)</f>
        <v>137020</v>
      </c>
      <c r="G10" s="1">
        <f>VLOOKUP($B$5:$B$16,'FOOD WASTAGE-SANNAI MESS'!$B$4:$F$15,3,0)</f>
        <v>4156</v>
      </c>
      <c r="H10" s="13">
        <f t="shared" si="1"/>
        <v>3.0331338490731281</v>
      </c>
      <c r="I10" s="1">
        <f>VLOOKUP($B$5:$B$16,'PLATE COUNT -SANNAI MESS'!$B$4:$F$15,4,0)</f>
        <v>147900</v>
      </c>
      <c r="J10" s="1">
        <f>VLOOKUP($B$5:$B$16,'FOOD WASTAGE-SANNAI MESS'!$B$4:$F$15,4,0)</f>
        <v>0</v>
      </c>
      <c r="K10" s="1" t="str">
        <f t="shared" si="2"/>
        <v>0</v>
      </c>
      <c r="L10" s="1">
        <f>VLOOKUP($B$5:$B$16,'PLATE COUNT -SANNAI MESS'!$B$4:$F$15,5,0)</f>
        <v>149800</v>
      </c>
      <c r="M10" s="1">
        <f>VLOOKUP($B$5:$B$16,'FOOD WASTAGE-SANNAI MESS'!$B$4:$F$15,5,0)</f>
        <v>5026</v>
      </c>
      <c r="N10" s="64">
        <f t="shared" si="3"/>
        <v>3.3551401869158877</v>
      </c>
      <c r="O10" s="67"/>
      <c r="P10" s="2" t="s">
        <v>9</v>
      </c>
      <c r="Q10" s="13">
        <f t="shared" si="4"/>
        <v>1.4656086684299972</v>
      </c>
      <c r="R10" s="13">
        <f t="shared" si="5"/>
        <v>3.3192346424974826</v>
      </c>
      <c r="S10" s="13" t="str">
        <f t="shared" si="6"/>
        <v>0</v>
      </c>
      <c r="T10" s="13">
        <f t="shared" si="7"/>
        <v>3.4116192830655132</v>
      </c>
      <c r="U10" s="14">
        <f t="shared" si="8"/>
        <v>2.0491156484982485</v>
      </c>
    </row>
    <row r="11" spans="1:21" ht="35.25" customHeight="1" x14ac:dyDescent="0.3">
      <c r="A11" s="3">
        <v>7</v>
      </c>
      <c r="B11" s="2" t="s">
        <v>11</v>
      </c>
      <c r="C11" s="1">
        <f>VLOOKUP($B$5:$B$16,'PLATE COUNT -SANNAI MESS'!$B$4:$F$15,2,0)</f>
        <v>69470</v>
      </c>
      <c r="D11" s="1">
        <f>VLOOKUP($B$5:$B$16,'FOOD WASTAGE-SANNAI MESS'!$B$4:$F$15,2,0)</f>
        <v>894</v>
      </c>
      <c r="E11" s="13">
        <f t="shared" si="0"/>
        <v>1.2868864257953072</v>
      </c>
      <c r="F11" s="1">
        <f>VLOOKUP($B$5:$B$16,'PLATE COUNT -SANNAI MESS'!$B$4:$F$15,3,0)</f>
        <v>143600</v>
      </c>
      <c r="G11" s="1">
        <f>VLOOKUP($B$5:$B$16,'FOOD WASTAGE-SANNAI MESS'!$B$4:$F$15,3,0)</f>
        <v>4514</v>
      </c>
      <c r="H11" s="13">
        <f t="shared" si="1"/>
        <v>3.1434540389972141</v>
      </c>
      <c r="I11" s="1">
        <f>VLOOKUP($B$5:$B$16,'PLATE COUNT -SANNAI MESS'!$B$4:$F$15,4,0)</f>
        <v>155150</v>
      </c>
      <c r="J11" s="1">
        <f>VLOOKUP($B$5:$B$16,'FOOD WASTAGE-SANNAI MESS'!$B$4:$F$15,4,0)</f>
        <v>0</v>
      </c>
      <c r="K11" s="1" t="str">
        <f t="shared" si="2"/>
        <v>0</v>
      </c>
      <c r="L11" s="1">
        <f>VLOOKUP($B$5:$B$16,'PLATE COUNT -SANNAI MESS'!$B$4:$F$15,5,0)</f>
        <v>155150</v>
      </c>
      <c r="M11" s="1">
        <f>VLOOKUP($B$5:$B$16,'FOOD WASTAGE-SANNAI MESS'!$B$4:$F$15,5,0)</f>
        <v>5478</v>
      </c>
      <c r="N11" s="64">
        <f t="shared" si="3"/>
        <v>3.5307766677408958</v>
      </c>
      <c r="O11" s="67"/>
      <c r="P11" s="2" t="s">
        <v>10</v>
      </c>
      <c r="Q11" s="13">
        <f t="shared" si="4"/>
        <v>1.358974358974359</v>
      </c>
      <c r="R11" s="13">
        <f t="shared" si="5"/>
        <v>3.0331338490731281</v>
      </c>
      <c r="S11" s="13" t="str">
        <f t="shared" si="6"/>
        <v>0</v>
      </c>
      <c r="T11" s="13">
        <f t="shared" si="7"/>
        <v>3.3551401869158877</v>
      </c>
      <c r="U11" s="14">
        <f t="shared" si="8"/>
        <v>1.9368120987408437</v>
      </c>
    </row>
    <row r="12" spans="1:21" ht="35.25" customHeight="1" x14ac:dyDescent="0.3">
      <c r="A12" s="3">
        <v>8</v>
      </c>
      <c r="B12" s="2" t="s">
        <v>12</v>
      </c>
      <c r="C12" s="1">
        <f>VLOOKUP($B$5:$B$16,'PLATE COUNT -SANNAI MESS'!$B$4:$F$15,2,0)</f>
        <v>66970</v>
      </c>
      <c r="D12" s="1">
        <f>VLOOKUP($B$5:$B$16,'FOOD WASTAGE-SANNAI MESS'!$B$4:$F$15,2,0)</f>
        <v>1041</v>
      </c>
      <c r="E12" s="13">
        <f t="shared" si="0"/>
        <v>1.554427355532328</v>
      </c>
      <c r="F12" s="1">
        <f>VLOOKUP($B$5:$B$16,'PLATE COUNT -SANNAI MESS'!$B$4:$F$15,3,0)</f>
        <v>147220</v>
      </c>
      <c r="G12" s="1">
        <f>VLOOKUP($B$5:$B$16,'FOOD WASTAGE-SANNAI MESS'!$B$4:$F$15,3,0)</f>
        <v>4501</v>
      </c>
      <c r="H12" s="13">
        <f t="shared" si="1"/>
        <v>3.0573291672327132</v>
      </c>
      <c r="I12" s="1">
        <f>VLOOKUP($B$5:$B$16,'PLATE COUNT -SANNAI MESS'!$B$4:$F$15,4,0)</f>
        <v>166910</v>
      </c>
      <c r="J12" s="1">
        <f>VLOOKUP($B$5:$B$16,'FOOD WASTAGE-SANNAI MESS'!$B$4:$F$15,4,0)</f>
        <v>0</v>
      </c>
      <c r="K12" s="1" t="str">
        <f t="shared" si="2"/>
        <v>0</v>
      </c>
      <c r="L12" s="1">
        <f>VLOOKUP($B$5:$B$16,'PLATE COUNT -SANNAI MESS'!$B$4:$F$15,5,0)</f>
        <v>166910</v>
      </c>
      <c r="M12" s="1">
        <f>VLOOKUP($B$5:$B$16,'FOOD WASTAGE-SANNAI MESS'!$B$4:$F$15,5,0)</f>
        <v>5820</v>
      </c>
      <c r="N12" s="64">
        <f t="shared" si="3"/>
        <v>3.4869091126954648</v>
      </c>
      <c r="O12" s="67"/>
      <c r="P12" s="2" t="s">
        <v>11</v>
      </c>
      <c r="Q12" s="13">
        <f t="shared" si="4"/>
        <v>1.2868864257953072</v>
      </c>
      <c r="R12" s="13">
        <f t="shared" si="5"/>
        <v>3.1434540389972141</v>
      </c>
      <c r="S12" s="13" t="str">
        <f t="shared" si="6"/>
        <v>0</v>
      </c>
      <c r="T12" s="13">
        <f t="shared" si="7"/>
        <v>3.5307766677408958</v>
      </c>
      <c r="U12" s="14">
        <f t="shared" si="8"/>
        <v>1.9902792831333542</v>
      </c>
    </row>
    <row r="13" spans="1:21" ht="35.25" customHeight="1" x14ac:dyDescent="0.3">
      <c r="A13" s="3">
        <v>9</v>
      </c>
      <c r="B13" s="2" t="s">
        <v>13</v>
      </c>
      <c r="C13" s="1">
        <f>VLOOKUP($B$5:$B$16,'PLATE COUNT -SANNAI MESS'!$B$4:$F$15,2,0)</f>
        <v>41510</v>
      </c>
      <c r="D13" s="1">
        <f>VLOOKUP($B$5:$B$16,'FOOD WASTAGE-SANNAI MESS'!$B$4:$F$15,2,0)</f>
        <v>694</v>
      </c>
      <c r="E13" s="13">
        <f t="shared" si="0"/>
        <v>1.6718862924596483</v>
      </c>
      <c r="F13" s="1">
        <f>VLOOKUP($B$5:$B$16,'PLATE COUNT -SANNAI MESS'!$B$4:$F$15,3,0)</f>
        <v>85051</v>
      </c>
      <c r="G13" s="1">
        <f>VLOOKUP($B$5:$B$16,'FOOD WASTAGE-SANNAI MESS'!$B$4:$F$15,3,0)</f>
        <v>3254</v>
      </c>
      <c r="H13" s="13">
        <f t="shared" si="1"/>
        <v>3.8259397302794795</v>
      </c>
      <c r="I13" s="1">
        <f>VLOOKUP($B$5:$B$16,'PLATE COUNT -SANNAI MESS'!$B$4:$F$15,4,0)</f>
        <v>78921</v>
      </c>
      <c r="J13" s="1">
        <f>VLOOKUP($B$5:$B$16,'FOOD WASTAGE-SANNAI MESS'!$B$4:$F$15,4,0)</f>
        <v>0</v>
      </c>
      <c r="K13" s="1" t="str">
        <f t="shared" si="2"/>
        <v>0</v>
      </c>
      <c r="L13" s="1">
        <f>VLOOKUP($B$5:$B$16,'PLATE COUNT -SANNAI MESS'!$B$4:$F$15,5,0)</f>
        <v>79121</v>
      </c>
      <c r="M13" s="1">
        <f>VLOOKUP($B$5:$B$16,'FOOD WASTAGE-SANNAI MESS'!$B$4:$F$15,5,0)</f>
        <v>4447</v>
      </c>
      <c r="N13" s="64">
        <f t="shared" si="3"/>
        <v>5.620505302005788</v>
      </c>
      <c r="O13" s="67"/>
      <c r="P13" s="2" t="s">
        <v>12</v>
      </c>
      <c r="Q13" s="13">
        <f t="shared" si="4"/>
        <v>1.554427355532328</v>
      </c>
      <c r="R13" s="13">
        <f t="shared" si="5"/>
        <v>3.0573291672327132</v>
      </c>
      <c r="S13" s="13" t="str">
        <f t="shared" si="6"/>
        <v>0</v>
      </c>
      <c r="T13" s="13">
        <f t="shared" si="7"/>
        <v>3.4869091126954648</v>
      </c>
      <c r="U13" s="14">
        <f t="shared" si="8"/>
        <v>2.0246664088651265</v>
      </c>
    </row>
    <row r="14" spans="1:21" ht="35.25" customHeight="1" x14ac:dyDescent="0.3">
      <c r="A14" s="3">
        <v>10</v>
      </c>
      <c r="B14" s="2" t="s">
        <v>14</v>
      </c>
      <c r="C14" s="1">
        <f>VLOOKUP($B$5:$B$16,'PLATE COUNT -SANNAI MESS'!$B$4:$F$15,2,0)</f>
        <v>63766</v>
      </c>
      <c r="D14" s="1">
        <f>VLOOKUP($B$5:$B$16,'FOOD WASTAGE-SANNAI MESS'!$B$4:$F$15,2,0)</f>
        <v>765</v>
      </c>
      <c r="E14" s="13">
        <f t="shared" si="0"/>
        <v>1.1996988990998336</v>
      </c>
      <c r="F14" s="1">
        <f>VLOOKUP($B$5:$B$16,'PLATE COUNT -SANNAI MESS'!$B$4:$F$15,3,0)</f>
        <v>120981</v>
      </c>
      <c r="G14" s="1">
        <f>VLOOKUP($B$5:$B$16,'FOOD WASTAGE-SANNAI MESS'!$B$4:$F$15,3,0)</f>
        <v>3937</v>
      </c>
      <c r="H14" s="13">
        <f t="shared" si="1"/>
        <v>3.2542300030583315</v>
      </c>
      <c r="I14" s="1">
        <f>VLOOKUP($B$5:$B$16,'PLATE COUNT -SANNAI MESS'!$B$4:$F$15,4,0)</f>
        <v>112366</v>
      </c>
      <c r="J14" s="1">
        <f>VLOOKUP($B$5:$B$16,'FOOD WASTAGE-SANNAI MESS'!$B$4:$F$15,4,0)</f>
        <v>0</v>
      </c>
      <c r="K14" s="1" t="str">
        <f t="shared" si="2"/>
        <v>0</v>
      </c>
      <c r="L14" s="1">
        <f>VLOOKUP($B$5:$B$16,'PLATE COUNT -SANNAI MESS'!$B$4:$F$15,5,0)</f>
        <v>113466</v>
      </c>
      <c r="M14" s="1">
        <f>VLOOKUP($B$5:$B$16,'FOOD WASTAGE-SANNAI MESS'!$B$4:$F$15,5,0)</f>
        <v>4753</v>
      </c>
      <c r="N14" s="64">
        <f t="shared" si="3"/>
        <v>4.1889200289073374</v>
      </c>
      <c r="O14" s="67"/>
      <c r="P14" s="2" t="s">
        <v>13</v>
      </c>
      <c r="Q14" s="13">
        <f t="shared" si="4"/>
        <v>1.6718862924596483</v>
      </c>
      <c r="R14" s="13">
        <f t="shared" si="5"/>
        <v>3.8259397302794795</v>
      </c>
      <c r="S14" s="13" t="str">
        <f t="shared" si="6"/>
        <v>0</v>
      </c>
      <c r="T14" s="13">
        <f t="shared" si="7"/>
        <v>5.620505302005788</v>
      </c>
      <c r="U14" s="14">
        <f t="shared" si="8"/>
        <v>2.7795828311862287</v>
      </c>
    </row>
    <row r="15" spans="1:21" ht="35.25" customHeight="1" x14ac:dyDescent="0.3">
      <c r="A15" s="3">
        <v>11</v>
      </c>
      <c r="B15" s="2" t="s">
        <v>15</v>
      </c>
      <c r="C15" s="1">
        <f>VLOOKUP($B$5:$B$16,'PLATE COUNT -SANNAI MESS'!$B$4:$F$15,2,0)</f>
        <v>54206</v>
      </c>
      <c r="D15" s="1">
        <f>VLOOKUP($B$5:$B$16,'FOOD WASTAGE-SANNAI MESS'!$B$4:$F$15,2,0)</f>
        <v>1120</v>
      </c>
      <c r="E15" s="13">
        <f t="shared" si="0"/>
        <v>2.0661919344721986</v>
      </c>
      <c r="F15" s="1">
        <f>VLOOKUP($B$5:$B$16,'PLATE COUNT -SANNAI MESS'!$B$4:$F$15,3,0)</f>
        <v>155689</v>
      </c>
      <c r="G15" s="1">
        <f>VLOOKUP($B$5:$B$16,'FOOD WASTAGE-SANNAI MESS'!$B$4:$F$15,3,0)</f>
        <v>3907</v>
      </c>
      <c r="H15" s="13">
        <f t="shared" si="1"/>
        <v>2.5094900731586689</v>
      </c>
      <c r="I15" s="1">
        <f>VLOOKUP($B$5:$B$16,'PLATE COUNT -SANNAI MESS'!$B$4:$F$15,4,0)</f>
        <v>168926</v>
      </c>
      <c r="J15" s="1">
        <f>VLOOKUP($B$5:$B$16,'FOOD WASTAGE-SANNAI MESS'!$B$4:$F$15,4,0)</f>
        <v>0</v>
      </c>
      <c r="K15" s="1" t="str">
        <f t="shared" si="2"/>
        <v>0</v>
      </c>
      <c r="L15" s="1">
        <f>VLOOKUP($B$5:$B$16,'PLATE COUNT -SANNAI MESS'!$B$4:$F$15,5,0)</f>
        <v>165326</v>
      </c>
      <c r="M15" s="1">
        <f>VLOOKUP($B$5:$B$16,'FOOD WASTAGE-SANNAI MESS'!$B$4:$F$15,5,0)</f>
        <v>5306</v>
      </c>
      <c r="N15" s="64">
        <f t="shared" si="3"/>
        <v>3.2094165467016684</v>
      </c>
      <c r="O15" s="67"/>
      <c r="P15" s="2" t="s">
        <v>14</v>
      </c>
      <c r="Q15" s="13">
        <f t="shared" si="4"/>
        <v>1.1996988990998336</v>
      </c>
      <c r="R15" s="13">
        <f t="shared" si="5"/>
        <v>3.2542300030583315</v>
      </c>
      <c r="S15" s="13" t="str">
        <f t="shared" si="6"/>
        <v>0</v>
      </c>
      <c r="T15" s="13">
        <f t="shared" si="7"/>
        <v>4.1889200289073374</v>
      </c>
      <c r="U15" s="14">
        <f t="shared" si="8"/>
        <v>2.1607122327663757</v>
      </c>
    </row>
    <row r="16" spans="1:21" ht="35.25" customHeight="1" x14ac:dyDescent="0.3">
      <c r="A16" s="3">
        <v>12</v>
      </c>
      <c r="B16" s="2" t="s">
        <v>27</v>
      </c>
      <c r="C16" s="1">
        <f>VLOOKUP($B$5:$B$16,'PLATE COUNT -SANNAI MESS'!$B$4:$F$15,2,0)</f>
        <v>51533</v>
      </c>
      <c r="D16" s="1">
        <f>VLOOKUP($B$5:$B$16,'FOOD WASTAGE-SANNAI MESS'!$B$4:$F$15,2,0)</f>
        <v>876</v>
      </c>
      <c r="E16" s="13">
        <f t="shared" si="0"/>
        <v>1.6998816292472785</v>
      </c>
      <c r="F16" s="1">
        <f>VLOOKUP($B$5:$B$16,'PLATE COUNT -SANNAI MESS'!$B$4:$F$15,3,0)</f>
        <v>162869</v>
      </c>
      <c r="G16" s="1">
        <f>VLOOKUP($B$5:$B$16,'FOOD WASTAGE-SANNAI MESS'!$B$4:$F$15,3,0)</f>
        <v>4498</v>
      </c>
      <c r="H16" s="13">
        <f t="shared" si="1"/>
        <v>2.7617287513277544</v>
      </c>
      <c r="I16" s="1">
        <f>VLOOKUP($B$5:$B$16,'PLATE COUNT -SANNAI MESS'!$B$4:$F$15,4,0)</f>
        <v>171597</v>
      </c>
      <c r="J16" s="1">
        <f>VLOOKUP($B$5:$B$16,'FOOD WASTAGE-SANNAI MESS'!$B$4:$F$15,4,0)</f>
        <v>0</v>
      </c>
      <c r="K16" s="1" t="str">
        <f t="shared" si="2"/>
        <v>0</v>
      </c>
      <c r="L16" s="1">
        <f>VLOOKUP($B$5:$B$16,'PLATE COUNT -SANNAI MESS'!$B$4:$F$15,5,0)</f>
        <v>171598</v>
      </c>
      <c r="M16" s="1">
        <f>VLOOKUP($B$5:$B$16,'FOOD WASTAGE-SANNAI MESS'!$B$4:$F$15,5,0)</f>
        <v>5796</v>
      </c>
      <c r="N16" s="64">
        <f t="shared" si="3"/>
        <v>3.3776617443093744</v>
      </c>
      <c r="O16" s="67"/>
      <c r="P16" s="2" t="s">
        <v>15</v>
      </c>
      <c r="Q16" s="13">
        <f t="shared" si="4"/>
        <v>2.0661919344721986</v>
      </c>
      <c r="R16" s="13">
        <f t="shared" si="5"/>
        <v>2.5094900731586689</v>
      </c>
      <c r="S16" s="13" t="str">
        <f t="shared" si="6"/>
        <v>0</v>
      </c>
      <c r="T16" s="13">
        <f t="shared" si="7"/>
        <v>3.2094165467016684</v>
      </c>
      <c r="U16" s="14">
        <f t="shared" si="8"/>
        <v>1.9462746385831338</v>
      </c>
    </row>
    <row r="17" spans="1:21" ht="35.25" customHeight="1" thickBot="1" x14ac:dyDescent="0.35">
      <c r="A17" s="12"/>
      <c r="B17" s="8" t="s">
        <v>16</v>
      </c>
      <c r="C17" s="15">
        <f>SUBTOTAL(9,C4:C16)</f>
        <v>630057</v>
      </c>
      <c r="D17" s="15">
        <f t="shared" ref="D17:N17" si="9">SUBTOTAL(9,D4:D16)</f>
        <v>12223</v>
      </c>
      <c r="E17" s="15">
        <f t="shared" si="9"/>
        <v>31.75657835906123</v>
      </c>
      <c r="F17" s="15">
        <f t="shared" si="9"/>
        <v>1374788</v>
      </c>
      <c r="G17" s="15">
        <f t="shared" si="9"/>
        <v>62627</v>
      </c>
      <c r="H17" s="15">
        <f t="shared" si="9"/>
        <v>77.733106897739958</v>
      </c>
      <c r="I17" s="15">
        <f t="shared" si="9"/>
        <v>1446545</v>
      </c>
      <c r="J17" s="15">
        <f t="shared" si="9"/>
        <v>0</v>
      </c>
      <c r="K17" s="15">
        <f t="shared" si="9"/>
        <v>0</v>
      </c>
      <c r="L17" s="15">
        <f t="shared" si="9"/>
        <v>1452353</v>
      </c>
      <c r="M17" s="15">
        <f t="shared" si="9"/>
        <v>72836</v>
      </c>
      <c r="N17" s="65">
        <f t="shared" si="9"/>
        <v>85.363331847845799</v>
      </c>
      <c r="O17" s="67"/>
      <c r="P17" s="2" t="s">
        <v>27</v>
      </c>
      <c r="Q17" s="13">
        <f t="shared" si="4"/>
        <v>1.6998816292472785</v>
      </c>
      <c r="R17" s="13">
        <f t="shared" si="5"/>
        <v>2.7617287513277544</v>
      </c>
      <c r="S17" s="13" t="str">
        <f t="shared" si="6"/>
        <v>0</v>
      </c>
      <c r="T17" s="13">
        <f t="shared" si="7"/>
        <v>3.3776617443093744</v>
      </c>
      <c r="U17" s="14">
        <f t="shared" si="8"/>
        <v>1.959818031221102</v>
      </c>
    </row>
    <row r="18" spans="1:21" ht="40.5" customHeight="1" thickBot="1" x14ac:dyDescent="0.3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68"/>
      <c r="P18" s="81" t="s">
        <v>81</v>
      </c>
      <c r="Q18" s="81"/>
      <c r="R18" s="81"/>
      <c r="S18" s="81"/>
      <c r="T18" s="82"/>
      <c r="U18" s="46">
        <f>SUM(U6:U17)/(12)</f>
        <v>4.059437856346813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J11" sqref="J11"/>
    </sheetView>
  </sheetViews>
  <sheetFormatPr defaultRowHeight="27.75" customHeight="1" x14ac:dyDescent="0.3"/>
  <cols>
    <col min="2" max="2" width="13.88671875" customWidth="1"/>
    <col min="7" max="7" width="13.33203125" customWidth="1"/>
  </cols>
  <sheetData>
    <row r="1" spans="1:7" ht="27.75" customHeight="1" x14ac:dyDescent="0.3">
      <c r="A1" s="73" t="s">
        <v>67</v>
      </c>
      <c r="B1" s="74"/>
      <c r="C1" s="74"/>
      <c r="D1" s="74"/>
      <c r="E1" s="74"/>
      <c r="F1" s="74"/>
      <c r="G1" s="75"/>
    </row>
    <row r="2" spans="1:7" ht="27.75" customHeight="1" x14ac:dyDescent="0.3">
      <c r="A2" s="76" t="s">
        <v>29</v>
      </c>
      <c r="B2" s="77"/>
      <c r="C2" s="77"/>
      <c r="D2" s="77"/>
      <c r="E2" s="77"/>
      <c r="F2" s="77"/>
      <c r="G2" s="78"/>
    </row>
    <row r="3" spans="1:7" ht="36.7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1" customHeight="1" x14ac:dyDescent="0.3">
      <c r="A4" s="3">
        <v>1</v>
      </c>
      <c r="B4" s="2" t="s">
        <v>5</v>
      </c>
      <c r="C4" s="1">
        <v>1006</v>
      </c>
      <c r="D4" s="1">
        <v>3161</v>
      </c>
      <c r="E4" s="1">
        <v>0</v>
      </c>
      <c r="F4" s="1">
        <v>3175</v>
      </c>
      <c r="G4" s="4">
        <f>SUM(C4:F4)</f>
        <v>7342</v>
      </c>
    </row>
    <row r="5" spans="1:7" ht="21" customHeight="1" x14ac:dyDescent="0.3">
      <c r="A5" s="3">
        <v>2</v>
      </c>
      <c r="B5" s="2" t="s">
        <v>6</v>
      </c>
      <c r="C5" s="1">
        <v>1023</v>
      </c>
      <c r="D5" s="1">
        <v>3024</v>
      </c>
      <c r="E5" s="1">
        <v>0</v>
      </c>
      <c r="F5" s="1">
        <v>3754</v>
      </c>
      <c r="G5" s="4">
        <f t="shared" ref="G5:G15" si="0">SUM(C5:F5)</f>
        <v>7801</v>
      </c>
    </row>
    <row r="6" spans="1:7" ht="21" customHeight="1" x14ac:dyDescent="0.3">
      <c r="A6" s="3">
        <v>3</v>
      </c>
      <c r="B6" s="2" t="s">
        <v>7</v>
      </c>
      <c r="C6" s="1">
        <v>15</v>
      </c>
      <c r="D6" s="1">
        <v>30</v>
      </c>
      <c r="E6" s="1">
        <v>0</v>
      </c>
      <c r="F6" s="1">
        <v>0</v>
      </c>
      <c r="G6" s="4">
        <f t="shared" si="0"/>
        <v>45</v>
      </c>
    </row>
    <row r="7" spans="1:7" ht="21" customHeight="1" x14ac:dyDescent="0.3">
      <c r="A7" s="3">
        <v>4</v>
      </c>
      <c r="B7" s="2" t="s">
        <v>8</v>
      </c>
      <c r="C7" s="1">
        <v>408</v>
      </c>
      <c r="D7" s="1">
        <v>1095</v>
      </c>
      <c r="E7" s="1">
        <v>0</v>
      </c>
      <c r="F7" s="1">
        <v>1117</v>
      </c>
      <c r="G7" s="4">
        <f t="shared" si="0"/>
        <v>2620</v>
      </c>
    </row>
    <row r="8" spans="1:7" ht="21" customHeight="1" x14ac:dyDescent="0.3">
      <c r="A8" s="3">
        <v>5</v>
      </c>
      <c r="B8" s="2" t="s">
        <v>9</v>
      </c>
      <c r="C8" s="1">
        <v>1181</v>
      </c>
      <c r="D8" s="1">
        <v>2453</v>
      </c>
      <c r="E8" s="1">
        <v>0</v>
      </c>
      <c r="F8" s="1">
        <v>2479</v>
      </c>
      <c r="G8" s="4">
        <f t="shared" si="0"/>
        <v>6113</v>
      </c>
    </row>
    <row r="9" spans="1:7" ht="21" customHeight="1" x14ac:dyDescent="0.3">
      <c r="A9" s="3">
        <v>6</v>
      </c>
      <c r="B9" s="2" t="s">
        <v>10</v>
      </c>
      <c r="C9" s="1">
        <v>1821</v>
      </c>
      <c r="D9" s="1">
        <v>3057</v>
      </c>
      <c r="E9" s="1">
        <v>0</v>
      </c>
      <c r="F9" s="1">
        <v>3583</v>
      </c>
      <c r="G9" s="4">
        <f t="shared" si="0"/>
        <v>8461</v>
      </c>
    </row>
    <row r="10" spans="1:7" ht="21" customHeight="1" x14ac:dyDescent="0.3">
      <c r="A10" s="3">
        <v>7</v>
      </c>
      <c r="B10" s="2" t="s">
        <v>11</v>
      </c>
      <c r="C10" s="1">
        <v>745</v>
      </c>
      <c r="D10" s="1">
        <v>2194</v>
      </c>
      <c r="E10" s="1">
        <v>0</v>
      </c>
      <c r="F10" s="1">
        <v>2264</v>
      </c>
      <c r="G10" s="4">
        <f t="shared" si="0"/>
        <v>5203</v>
      </c>
    </row>
    <row r="11" spans="1:7" ht="21" customHeight="1" x14ac:dyDescent="0.3">
      <c r="A11" s="3">
        <v>8</v>
      </c>
      <c r="B11" s="2" t="s">
        <v>12</v>
      </c>
      <c r="C11" s="1">
        <v>1006</v>
      </c>
      <c r="D11" s="1">
        <v>1977</v>
      </c>
      <c r="E11" s="1">
        <v>0</v>
      </c>
      <c r="F11" s="1">
        <v>2411</v>
      </c>
      <c r="G11" s="4">
        <f t="shared" si="0"/>
        <v>5394</v>
      </c>
    </row>
    <row r="12" spans="1:7" ht="21" customHeight="1" x14ac:dyDescent="0.3">
      <c r="A12" s="3">
        <v>9</v>
      </c>
      <c r="B12" s="2" t="s">
        <v>13</v>
      </c>
      <c r="C12" s="1">
        <v>205</v>
      </c>
      <c r="D12" s="1">
        <v>468</v>
      </c>
      <c r="E12" s="1">
        <v>0</v>
      </c>
      <c r="F12" s="1">
        <v>525</v>
      </c>
      <c r="G12" s="4">
        <f t="shared" si="0"/>
        <v>1198</v>
      </c>
    </row>
    <row r="13" spans="1:7" ht="21" customHeight="1" x14ac:dyDescent="0.3">
      <c r="A13" s="3">
        <v>10</v>
      </c>
      <c r="B13" s="2" t="s">
        <v>14</v>
      </c>
      <c r="C13" s="1">
        <v>0</v>
      </c>
      <c r="D13" s="1">
        <v>0</v>
      </c>
      <c r="E13" s="1">
        <v>0</v>
      </c>
      <c r="F13" s="1">
        <v>0</v>
      </c>
      <c r="G13" s="4">
        <f t="shared" si="0"/>
        <v>0</v>
      </c>
    </row>
    <row r="14" spans="1:7" ht="21" customHeight="1" x14ac:dyDescent="0.3">
      <c r="A14" s="3">
        <v>11</v>
      </c>
      <c r="B14" s="2" t="s">
        <v>15</v>
      </c>
      <c r="C14" s="1">
        <v>887</v>
      </c>
      <c r="D14" s="1">
        <v>1680</v>
      </c>
      <c r="E14" s="1">
        <v>0</v>
      </c>
      <c r="F14" s="1">
        <v>1867</v>
      </c>
      <c r="G14" s="4">
        <f t="shared" si="0"/>
        <v>4434</v>
      </c>
    </row>
    <row r="15" spans="1:7" ht="21" customHeight="1" x14ac:dyDescent="0.3">
      <c r="A15" s="3">
        <v>12</v>
      </c>
      <c r="B15" s="2" t="s">
        <v>27</v>
      </c>
      <c r="C15" s="1">
        <v>1013</v>
      </c>
      <c r="D15" s="1">
        <v>1720</v>
      </c>
      <c r="E15" s="1">
        <v>0</v>
      </c>
      <c r="F15" s="1">
        <v>2248</v>
      </c>
      <c r="G15" s="4">
        <f t="shared" si="0"/>
        <v>4981</v>
      </c>
    </row>
    <row r="16" spans="1:7" ht="21" customHeight="1" x14ac:dyDescent="0.3">
      <c r="A16" s="5"/>
      <c r="B16" s="8" t="s">
        <v>16</v>
      </c>
      <c r="C16" s="9">
        <f>SUBTOTAL(9,C4:C15)</f>
        <v>9310</v>
      </c>
      <c r="D16" s="9">
        <f t="shared" ref="D16:G16" si="1">SUBTOTAL(9,D4:D15)</f>
        <v>20859</v>
      </c>
      <c r="E16" s="9">
        <f t="shared" si="1"/>
        <v>0</v>
      </c>
      <c r="F16" s="9">
        <f t="shared" si="1"/>
        <v>23423</v>
      </c>
      <c r="G16" s="10">
        <f t="shared" si="1"/>
        <v>53592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topLeftCell="A4" workbookViewId="0">
      <selection activeCell="H19" sqref="H19"/>
    </sheetView>
  </sheetViews>
  <sheetFormatPr defaultRowHeight="19.5" customHeight="1" x14ac:dyDescent="0.3"/>
  <cols>
    <col min="2" max="2" width="13.33203125" customWidth="1"/>
    <col min="7" max="7" width="11.33203125" customWidth="1"/>
  </cols>
  <sheetData>
    <row r="1" spans="1:7" ht="19.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19.5" customHeight="1" x14ac:dyDescent="0.3">
      <c r="A2" s="80" t="s">
        <v>47</v>
      </c>
      <c r="B2" s="77"/>
      <c r="C2" s="77"/>
      <c r="D2" s="77"/>
      <c r="E2" s="77"/>
      <c r="F2" s="77"/>
      <c r="G2" s="83"/>
    </row>
    <row r="3" spans="1:7" ht="40.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4" customHeight="1" x14ac:dyDescent="0.3">
      <c r="A4" s="1">
        <v>1</v>
      </c>
      <c r="B4" s="2" t="s">
        <v>5</v>
      </c>
      <c r="C4" s="1">
        <v>24455</v>
      </c>
      <c r="D4" s="1">
        <v>31425</v>
      </c>
      <c r="E4" s="1">
        <v>31350</v>
      </c>
      <c r="F4" s="1">
        <v>31360</v>
      </c>
      <c r="G4" s="1">
        <f>SUM(C4:F4)</f>
        <v>118590</v>
      </c>
    </row>
    <row r="5" spans="1:7" ht="24" customHeight="1" x14ac:dyDescent="0.3">
      <c r="A5" s="1">
        <v>2</v>
      </c>
      <c r="B5" s="2" t="s">
        <v>6</v>
      </c>
      <c r="C5" s="1">
        <v>24240</v>
      </c>
      <c r="D5" s="1">
        <v>29827</v>
      </c>
      <c r="E5" s="1">
        <v>32415</v>
      </c>
      <c r="F5" s="1">
        <v>32415</v>
      </c>
      <c r="G5" s="1">
        <f t="shared" ref="G5:G15" si="0">SUM(C5:F5)</f>
        <v>118897</v>
      </c>
    </row>
    <row r="6" spans="1:7" ht="24" customHeight="1" x14ac:dyDescent="0.3">
      <c r="A6" s="1">
        <v>3</v>
      </c>
      <c r="B6" s="2" t="s">
        <v>7</v>
      </c>
      <c r="C6" s="1">
        <v>1360</v>
      </c>
      <c r="D6" s="1">
        <v>1655</v>
      </c>
      <c r="E6" s="1">
        <v>840</v>
      </c>
      <c r="F6" s="1">
        <v>840</v>
      </c>
      <c r="G6" s="1">
        <f t="shared" si="0"/>
        <v>4695</v>
      </c>
    </row>
    <row r="7" spans="1:7" ht="24" customHeight="1" x14ac:dyDescent="0.3">
      <c r="A7" s="1">
        <v>4</v>
      </c>
      <c r="B7" s="2" t="s">
        <v>8</v>
      </c>
      <c r="C7" s="1">
        <v>12465</v>
      </c>
      <c r="D7" s="1">
        <v>19740</v>
      </c>
      <c r="E7" s="1">
        <v>21090</v>
      </c>
      <c r="F7" s="1">
        <v>21090</v>
      </c>
      <c r="G7" s="1">
        <f t="shared" si="0"/>
        <v>74385</v>
      </c>
    </row>
    <row r="8" spans="1:7" ht="24" customHeight="1" x14ac:dyDescent="0.3">
      <c r="A8" s="1">
        <v>5</v>
      </c>
      <c r="B8" s="2" t="s">
        <v>9</v>
      </c>
      <c r="C8" s="1">
        <v>24580</v>
      </c>
      <c r="D8" s="1">
        <v>40135</v>
      </c>
      <c r="E8" s="1">
        <v>43220</v>
      </c>
      <c r="F8" s="1">
        <v>43100</v>
      </c>
      <c r="G8" s="1">
        <f t="shared" si="0"/>
        <v>151035</v>
      </c>
    </row>
    <row r="9" spans="1:7" ht="24" customHeight="1" x14ac:dyDescent="0.3">
      <c r="A9" s="1">
        <v>6</v>
      </c>
      <c r="B9" s="2" t="s">
        <v>10</v>
      </c>
      <c r="C9" s="1">
        <v>22752</v>
      </c>
      <c r="D9" s="1">
        <v>37614</v>
      </c>
      <c r="E9" s="1">
        <v>42907</v>
      </c>
      <c r="F9" s="1">
        <v>44457</v>
      </c>
      <c r="G9" s="1">
        <f t="shared" si="0"/>
        <v>147730</v>
      </c>
    </row>
    <row r="10" spans="1:7" ht="24" customHeight="1" x14ac:dyDescent="0.3">
      <c r="A10" s="1">
        <v>7</v>
      </c>
      <c r="B10" s="2" t="s">
        <v>11</v>
      </c>
      <c r="C10" s="1">
        <v>13135</v>
      </c>
      <c r="D10" s="1">
        <v>24626</v>
      </c>
      <c r="E10" s="1">
        <v>24790</v>
      </c>
      <c r="F10" s="1">
        <v>26240</v>
      </c>
      <c r="G10" s="1">
        <f t="shared" si="0"/>
        <v>88791</v>
      </c>
    </row>
    <row r="11" spans="1:7" ht="24" customHeight="1" x14ac:dyDescent="0.3">
      <c r="A11" s="1">
        <v>8</v>
      </c>
      <c r="B11" s="2" t="s">
        <v>12</v>
      </c>
      <c r="C11" s="1">
        <v>12493</v>
      </c>
      <c r="D11" s="1">
        <v>21964</v>
      </c>
      <c r="E11" s="1">
        <v>26996</v>
      </c>
      <c r="F11" s="1">
        <v>26996</v>
      </c>
      <c r="G11" s="1">
        <f t="shared" si="0"/>
        <v>88449</v>
      </c>
    </row>
    <row r="12" spans="1:7" ht="24" customHeight="1" x14ac:dyDescent="0.3">
      <c r="A12" s="1">
        <v>9</v>
      </c>
      <c r="B12" s="2" t="s">
        <v>13</v>
      </c>
      <c r="C12" s="1">
        <v>4976</v>
      </c>
      <c r="D12" s="1">
        <v>8673</v>
      </c>
      <c r="E12" s="1">
        <v>10715</v>
      </c>
      <c r="F12" s="1">
        <v>10715</v>
      </c>
      <c r="G12" s="1">
        <f t="shared" si="0"/>
        <v>35079</v>
      </c>
    </row>
    <row r="13" spans="1:7" ht="24" customHeight="1" x14ac:dyDescent="0.3">
      <c r="A13" s="1">
        <v>10</v>
      </c>
      <c r="B13" s="2" t="s">
        <v>14</v>
      </c>
      <c r="C13" s="1">
        <v>1395</v>
      </c>
      <c r="D13" s="1">
        <v>1250</v>
      </c>
      <c r="E13" s="1">
        <v>3480</v>
      </c>
      <c r="F13" s="1">
        <v>3480</v>
      </c>
      <c r="G13" s="1">
        <f t="shared" si="0"/>
        <v>9605</v>
      </c>
    </row>
    <row r="14" spans="1:7" ht="24" customHeight="1" x14ac:dyDescent="0.3">
      <c r="A14" s="1">
        <v>11</v>
      </c>
      <c r="B14" s="2" t="s">
        <v>15</v>
      </c>
      <c r="C14" s="1">
        <v>22356</v>
      </c>
      <c r="D14" s="1">
        <v>43656</v>
      </c>
      <c r="E14" s="1">
        <v>51643</v>
      </c>
      <c r="F14" s="1">
        <v>51643</v>
      </c>
      <c r="G14" s="1">
        <f t="shared" si="0"/>
        <v>169298</v>
      </c>
    </row>
    <row r="15" spans="1:7" ht="24" customHeight="1" x14ac:dyDescent="0.3">
      <c r="A15" s="1">
        <v>12</v>
      </c>
      <c r="B15" s="2" t="s">
        <v>27</v>
      </c>
      <c r="C15" s="1">
        <v>21414</v>
      </c>
      <c r="D15" s="1">
        <v>49248</v>
      </c>
      <c r="E15" s="1">
        <v>47967</v>
      </c>
      <c r="F15" s="1">
        <v>47967</v>
      </c>
      <c r="G15" s="1">
        <f t="shared" si="0"/>
        <v>166596</v>
      </c>
    </row>
    <row r="16" spans="1:7" ht="24" customHeight="1" x14ac:dyDescent="0.3">
      <c r="A16" s="2"/>
      <c r="B16" s="19" t="s">
        <v>16</v>
      </c>
      <c r="C16" s="19">
        <f>SUBTOTAL(9,C4:C15)</f>
        <v>185621</v>
      </c>
      <c r="D16" s="19">
        <f t="shared" ref="D16:G16" si="1">SUBTOTAL(9,D4:D15)</f>
        <v>309813</v>
      </c>
      <c r="E16" s="19">
        <f t="shared" si="1"/>
        <v>337413</v>
      </c>
      <c r="F16" s="19">
        <f t="shared" si="1"/>
        <v>340303</v>
      </c>
      <c r="G16" s="19">
        <f t="shared" si="1"/>
        <v>1173150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8"/>
  <sheetViews>
    <sheetView topLeftCell="B1" workbookViewId="0">
      <selection activeCell="K13" sqref="K13"/>
    </sheetView>
  </sheetViews>
  <sheetFormatPr defaultRowHeight="31.5" customHeight="1" x14ac:dyDescent="0.3"/>
  <cols>
    <col min="1" max="1" width="6" customWidth="1"/>
    <col min="2" max="2" width="16.44140625" customWidth="1"/>
    <col min="3" max="3" width="12.33203125" customWidth="1"/>
    <col min="4" max="14" width="12.5546875" customWidth="1"/>
    <col min="15" max="15" width="10.33203125" customWidth="1"/>
    <col min="16" max="16" width="21.109375" customWidth="1"/>
    <col min="17" max="21" width="11" customWidth="1"/>
  </cols>
  <sheetData>
    <row r="1" spans="1:21" ht="31.5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  <c r="O1" s="66"/>
      <c r="P1" s="40"/>
      <c r="Q1" s="41"/>
      <c r="R1" s="40"/>
      <c r="S1" s="40"/>
      <c r="T1" s="40"/>
      <c r="U1" s="42"/>
    </row>
    <row r="2" spans="1:21" ht="31.5" customHeight="1" x14ac:dyDescent="0.3">
      <c r="A2" s="76" t="s">
        <v>56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  <c r="O2" s="67"/>
      <c r="Q2" s="16"/>
      <c r="U2" s="43"/>
    </row>
    <row r="3" spans="1:21" ht="60" customHeight="1" x14ac:dyDescent="0.3">
      <c r="A3" s="7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7" t="s">
        <v>36</v>
      </c>
      <c r="J3" s="17" t="s">
        <v>37</v>
      </c>
      <c r="K3" s="17" t="s">
        <v>39</v>
      </c>
      <c r="L3" s="17" t="s">
        <v>36</v>
      </c>
      <c r="M3" s="17" t="s">
        <v>37</v>
      </c>
      <c r="N3" s="47" t="s">
        <v>39</v>
      </c>
      <c r="O3" s="67"/>
      <c r="P3" s="80" t="s">
        <v>17</v>
      </c>
      <c r="Q3" s="77"/>
      <c r="R3" s="77"/>
      <c r="S3" s="77"/>
      <c r="T3" s="77"/>
      <c r="U3" s="83"/>
    </row>
    <row r="4" spans="1:21" ht="31.5" customHeight="1" x14ac:dyDescent="0.3">
      <c r="A4" s="7" t="s">
        <v>4</v>
      </c>
      <c r="B4" s="17" t="s">
        <v>0</v>
      </c>
      <c r="C4" s="17" t="s">
        <v>25</v>
      </c>
      <c r="D4" s="17" t="s">
        <v>25</v>
      </c>
      <c r="E4" s="17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63" t="s">
        <v>3</v>
      </c>
      <c r="O4" s="67"/>
      <c r="P4" s="80" t="s">
        <v>57</v>
      </c>
      <c r="Q4" s="77"/>
      <c r="R4" s="77"/>
      <c r="S4" s="77"/>
      <c r="T4" s="77"/>
      <c r="U4" s="83"/>
    </row>
    <row r="5" spans="1:21" ht="19.5" customHeight="1" x14ac:dyDescent="0.3">
      <c r="A5" s="3">
        <v>1</v>
      </c>
      <c r="B5" s="2" t="s">
        <v>5</v>
      </c>
      <c r="C5" s="1">
        <f>VLOOKUP($B$5:$B$16,'PLATE COUNT-D-MESS'!$B$4:$G$15,2,0)</f>
        <v>24455</v>
      </c>
      <c r="D5" s="1">
        <f>VLOOKUP($B$5:$B$16,'FOOD WASTAGE-D-MESS'!$B$4:$G$15,2,0)</f>
        <v>1006</v>
      </c>
      <c r="E5" s="13">
        <f>SUM(D5/C5*100)</f>
        <v>4.1136781844203645</v>
      </c>
      <c r="F5" s="1">
        <f>VLOOKUP($B$5:$B$16,'PLATE COUNT-D-MESS'!$B$4:$G$15,3,0)</f>
        <v>31425</v>
      </c>
      <c r="G5" s="1">
        <f>VLOOKUP($B$5:$B$16,'FOOD WASTAGE-D-MESS'!$B$4:$G$15,3,0)</f>
        <v>3161</v>
      </c>
      <c r="H5" s="13">
        <f>SUM(G5/F5*100)</f>
        <v>10.058870326173428</v>
      </c>
      <c r="I5" s="1">
        <f>VLOOKUP($B$5:$B$16,'PLATE COUNT-D-MESS'!$B$4:$G$15,4,0)</f>
        <v>31350</v>
      </c>
      <c r="J5" s="1">
        <f>VLOOKUP($B$5:$B$16,'FOOD WASTAGE-D-MESS'!$B$4:$G$15,4,0)</f>
        <v>0</v>
      </c>
      <c r="K5" s="1" t="str">
        <f>IFERROR(SUM(I5/J5),"0")</f>
        <v>0</v>
      </c>
      <c r="L5" s="1">
        <f>VLOOKUP($B$5:$B$16,'PLATE COUNT-D-MESS'!$B$4:$G$15,5,0)</f>
        <v>31360</v>
      </c>
      <c r="M5" s="1">
        <f>VLOOKUP($B$5:$B$16,'FOOD WASTAGE-D-MESS'!$B$4:$G$15,5,0)</f>
        <v>3175</v>
      </c>
      <c r="N5" s="64">
        <f>SUM(M5/L5*100)</f>
        <v>10.124362244897959</v>
      </c>
      <c r="O5" s="67"/>
      <c r="P5" s="19" t="s">
        <v>0</v>
      </c>
      <c r="Q5" s="19" t="s">
        <v>25</v>
      </c>
      <c r="R5" s="19" t="s">
        <v>1</v>
      </c>
      <c r="S5" s="17" t="s">
        <v>2</v>
      </c>
      <c r="T5" s="19" t="s">
        <v>3</v>
      </c>
      <c r="U5" s="17" t="s">
        <v>40</v>
      </c>
    </row>
    <row r="6" spans="1:21" ht="19.5" customHeight="1" x14ac:dyDescent="0.3">
      <c r="A6" s="3">
        <v>2</v>
      </c>
      <c r="B6" s="2" t="s">
        <v>6</v>
      </c>
      <c r="C6" s="1">
        <f>VLOOKUP($B$5:$B$16,'PLATE COUNT-D-MESS'!$B$4:$G$15,2,0)</f>
        <v>24240</v>
      </c>
      <c r="D6" s="1">
        <f>VLOOKUP($B$5:$B$16,'FOOD WASTAGE-D-MESS'!$B$4:$G$15,2,0)</f>
        <v>1023</v>
      </c>
      <c r="E6" s="13">
        <f t="shared" ref="E6:E16" si="0">SUM(D6/C6*100)</f>
        <v>4.2202970297029703</v>
      </c>
      <c r="F6" s="1">
        <f>VLOOKUP($B$5:$B$16,'PLATE COUNT-D-MESS'!$B$4:$G$15,3,0)</f>
        <v>29827</v>
      </c>
      <c r="G6" s="1">
        <f>VLOOKUP($B$5:$B$16,'FOOD WASTAGE-D-MESS'!$B$4:$G$15,3,0)</f>
        <v>3024</v>
      </c>
      <c r="H6" s="13">
        <f t="shared" ref="H6:H16" si="1">SUM(G6/F6*100)</f>
        <v>10.13846514902605</v>
      </c>
      <c r="I6" s="1">
        <f>VLOOKUP($B$5:$B$16,'PLATE COUNT-D-MESS'!$B$4:$G$15,4,0)</f>
        <v>32415</v>
      </c>
      <c r="J6" s="1">
        <f>VLOOKUP($B$5:$B$16,'FOOD WASTAGE-D-MESS'!$B$4:$G$15,4,0)</f>
        <v>0</v>
      </c>
      <c r="K6" s="1" t="str">
        <f t="shared" ref="K6:K16" si="2">IFERROR(SUM(I6/J6),"0")</f>
        <v>0</v>
      </c>
      <c r="L6" s="1">
        <f>VLOOKUP($B$5:$B$16,'PLATE COUNT-D-MESS'!$B$4:$G$15,5,0)</f>
        <v>32415</v>
      </c>
      <c r="M6" s="1">
        <f>VLOOKUP($B$5:$B$16,'FOOD WASTAGE-D-MESS'!$B$4:$G$15,5,0)</f>
        <v>3754</v>
      </c>
      <c r="N6" s="64">
        <f t="shared" ref="N6:N16" si="3">SUM(M6/L6*100)</f>
        <v>11.581058152090081</v>
      </c>
      <c r="O6" s="67"/>
      <c r="P6" s="2" t="s">
        <v>5</v>
      </c>
      <c r="Q6" s="13">
        <f t="shared" ref="Q6:Q17" si="4">VLOOKUP($P$6:$P$17,$B$4:$N$16,4,0)</f>
        <v>4.1136781844203645</v>
      </c>
      <c r="R6" s="13">
        <f t="shared" ref="R6:R17" si="5">VLOOKUP($P$6:$P$17,$B$4:$N$16,7,0)</f>
        <v>10.058870326173428</v>
      </c>
      <c r="S6" s="13" t="str">
        <f t="shared" ref="S6:S17" si="6">VLOOKUP($P$6:$P$17,$B$4:$N$16,10,0)</f>
        <v>0</v>
      </c>
      <c r="T6" s="13">
        <f t="shared" ref="T6:T17" si="7">VLOOKUP($P$6:$P$17,$B$4:$N$16,13,0)</f>
        <v>10.124362244897959</v>
      </c>
      <c r="U6" s="13">
        <f>SUM(Q6:T6)/4</f>
        <v>6.0742276888729378</v>
      </c>
    </row>
    <row r="7" spans="1:21" ht="19.5" customHeight="1" x14ac:dyDescent="0.3">
      <c r="A7" s="3">
        <v>3</v>
      </c>
      <c r="B7" s="2" t="s">
        <v>7</v>
      </c>
      <c r="C7" s="1">
        <f>VLOOKUP($B$5:$B$16,'PLATE COUNT-D-MESS'!$B$4:$G$15,2,0)</f>
        <v>1360</v>
      </c>
      <c r="D7" s="1">
        <f>VLOOKUP($B$5:$B$16,'FOOD WASTAGE-D-MESS'!$B$4:$G$15,2,0)</f>
        <v>15</v>
      </c>
      <c r="E7" s="13">
        <f t="shared" si="0"/>
        <v>1.1029411764705883</v>
      </c>
      <c r="F7" s="1">
        <f>VLOOKUP($B$5:$B$16,'PLATE COUNT-D-MESS'!$B$4:$G$15,3,0)</f>
        <v>1655</v>
      </c>
      <c r="G7" s="1">
        <f>VLOOKUP($B$5:$B$16,'FOOD WASTAGE-D-MESS'!$B$4:$G$15,3,0)</f>
        <v>30</v>
      </c>
      <c r="H7" s="13">
        <f t="shared" si="1"/>
        <v>1.8126888217522661</v>
      </c>
      <c r="I7" s="1">
        <f>VLOOKUP($B$5:$B$16,'PLATE COUNT-D-MESS'!$B$4:$G$15,4,0)</f>
        <v>840</v>
      </c>
      <c r="J7" s="1">
        <f>VLOOKUP($B$5:$B$16,'FOOD WASTAGE-D-MESS'!$B$4:$G$15,4,0)</f>
        <v>0</v>
      </c>
      <c r="K7" s="1" t="str">
        <f t="shared" si="2"/>
        <v>0</v>
      </c>
      <c r="L7" s="1">
        <f>VLOOKUP($B$5:$B$16,'PLATE COUNT-D-MESS'!$B$4:$G$15,5,0)</f>
        <v>840</v>
      </c>
      <c r="M7" s="1">
        <f>VLOOKUP($B$5:$B$16,'FOOD WASTAGE-D-MESS'!$B$4:$G$15,5,0)</f>
        <v>0</v>
      </c>
      <c r="N7" s="64">
        <f t="shared" si="3"/>
        <v>0</v>
      </c>
      <c r="O7" s="67"/>
      <c r="P7" s="2" t="s">
        <v>6</v>
      </c>
      <c r="Q7" s="13">
        <f t="shared" si="4"/>
        <v>4.2202970297029703</v>
      </c>
      <c r="R7" s="13">
        <f t="shared" si="5"/>
        <v>10.13846514902605</v>
      </c>
      <c r="S7" s="13" t="str">
        <f t="shared" si="6"/>
        <v>0</v>
      </c>
      <c r="T7" s="13">
        <f t="shared" si="7"/>
        <v>11.581058152090081</v>
      </c>
      <c r="U7" s="13">
        <f t="shared" ref="U7:U17" si="8">SUM(Q7:T7)/4</f>
        <v>6.4849550827047757</v>
      </c>
    </row>
    <row r="8" spans="1:21" ht="19.5" customHeight="1" x14ac:dyDescent="0.3">
      <c r="A8" s="3">
        <v>4</v>
      </c>
      <c r="B8" s="2" t="s">
        <v>8</v>
      </c>
      <c r="C8" s="1">
        <f>VLOOKUP($B$5:$B$16,'PLATE COUNT-D-MESS'!$B$4:$G$15,2,0)</f>
        <v>12465</v>
      </c>
      <c r="D8" s="1">
        <f>VLOOKUP($B$5:$B$16,'FOOD WASTAGE-D-MESS'!$B$4:$G$15,2,0)</f>
        <v>408</v>
      </c>
      <c r="E8" s="13">
        <f t="shared" si="0"/>
        <v>3.2731648616125151</v>
      </c>
      <c r="F8" s="1">
        <f>VLOOKUP($B$5:$B$16,'PLATE COUNT-D-MESS'!$B$4:$G$15,3,0)</f>
        <v>19740</v>
      </c>
      <c r="G8" s="1">
        <f>VLOOKUP($B$5:$B$16,'FOOD WASTAGE-D-MESS'!$B$4:$G$15,3,0)</f>
        <v>1095</v>
      </c>
      <c r="H8" s="13">
        <f t="shared" si="1"/>
        <v>5.547112462006079</v>
      </c>
      <c r="I8" s="1">
        <f>VLOOKUP($B$5:$B$16,'PLATE COUNT-D-MESS'!$B$4:$G$15,4,0)</f>
        <v>21090</v>
      </c>
      <c r="J8" s="1">
        <f>VLOOKUP($B$5:$B$16,'FOOD WASTAGE-D-MESS'!$B$4:$G$15,4,0)</f>
        <v>0</v>
      </c>
      <c r="K8" s="1" t="str">
        <f t="shared" si="2"/>
        <v>0</v>
      </c>
      <c r="L8" s="1">
        <f>VLOOKUP($B$5:$B$16,'PLATE COUNT-D-MESS'!$B$4:$G$15,5,0)</f>
        <v>21090</v>
      </c>
      <c r="M8" s="1">
        <f>VLOOKUP($B$5:$B$16,'FOOD WASTAGE-D-MESS'!$B$4:$G$15,5,0)</f>
        <v>1117</v>
      </c>
      <c r="N8" s="64">
        <f t="shared" si="3"/>
        <v>5.2963489805595065</v>
      </c>
      <c r="O8" s="67"/>
      <c r="P8" s="2" t="s">
        <v>7</v>
      </c>
      <c r="Q8" s="13">
        <f t="shared" si="4"/>
        <v>1.1029411764705883</v>
      </c>
      <c r="R8" s="13">
        <f t="shared" si="5"/>
        <v>1.8126888217522661</v>
      </c>
      <c r="S8" s="13" t="str">
        <f t="shared" si="6"/>
        <v>0</v>
      </c>
      <c r="T8" s="13">
        <f t="shared" si="7"/>
        <v>0</v>
      </c>
      <c r="U8" s="13">
        <f t="shared" si="8"/>
        <v>0.72890749955571366</v>
      </c>
    </row>
    <row r="9" spans="1:21" ht="19.5" customHeight="1" x14ac:dyDescent="0.3">
      <c r="A9" s="3">
        <v>5</v>
      </c>
      <c r="B9" s="2" t="s">
        <v>9</v>
      </c>
      <c r="C9" s="1">
        <f>VLOOKUP($B$5:$B$16,'PLATE COUNT-D-MESS'!$B$4:$G$15,2,0)</f>
        <v>24580</v>
      </c>
      <c r="D9" s="1">
        <f>VLOOKUP($B$5:$B$16,'FOOD WASTAGE-D-MESS'!$B$4:$G$15,2,0)</f>
        <v>1181</v>
      </c>
      <c r="E9" s="13">
        <f t="shared" si="0"/>
        <v>4.8047192839707078</v>
      </c>
      <c r="F9" s="1">
        <f>VLOOKUP($B$5:$B$16,'PLATE COUNT-D-MESS'!$B$4:$G$15,3,0)</f>
        <v>40135</v>
      </c>
      <c r="G9" s="1">
        <f>VLOOKUP($B$5:$B$16,'FOOD WASTAGE-D-MESS'!$B$4:$G$15,3,0)</f>
        <v>2453</v>
      </c>
      <c r="H9" s="13">
        <f t="shared" si="1"/>
        <v>6.1118724305469048</v>
      </c>
      <c r="I9" s="1">
        <f>VLOOKUP($B$5:$B$16,'PLATE COUNT-D-MESS'!$B$4:$G$15,4,0)</f>
        <v>43220</v>
      </c>
      <c r="J9" s="1">
        <f>VLOOKUP($B$5:$B$16,'FOOD WASTAGE-D-MESS'!$B$4:$G$15,4,0)</f>
        <v>0</v>
      </c>
      <c r="K9" s="1" t="str">
        <f t="shared" si="2"/>
        <v>0</v>
      </c>
      <c r="L9" s="1">
        <f>VLOOKUP($B$5:$B$16,'PLATE COUNT-D-MESS'!$B$4:$G$15,5,0)</f>
        <v>43100</v>
      </c>
      <c r="M9" s="1">
        <f>VLOOKUP($B$5:$B$16,'FOOD WASTAGE-D-MESS'!$B$4:$G$15,5,0)</f>
        <v>2479</v>
      </c>
      <c r="N9" s="64">
        <f t="shared" si="3"/>
        <v>5.7517401392111367</v>
      </c>
      <c r="O9" s="67"/>
      <c r="P9" s="2" t="s">
        <v>8</v>
      </c>
      <c r="Q9" s="13">
        <f t="shared" si="4"/>
        <v>3.2731648616125151</v>
      </c>
      <c r="R9" s="13">
        <f t="shared" si="5"/>
        <v>5.547112462006079</v>
      </c>
      <c r="S9" s="13" t="str">
        <f t="shared" si="6"/>
        <v>0</v>
      </c>
      <c r="T9" s="13">
        <f t="shared" si="7"/>
        <v>5.2963489805595065</v>
      </c>
      <c r="U9" s="13">
        <f t="shared" si="8"/>
        <v>3.5291565760445254</v>
      </c>
    </row>
    <row r="10" spans="1:21" ht="19.5" customHeight="1" x14ac:dyDescent="0.3">
      <c r="A10" s="3">
        <v>6</v>
      </c>
      <c r="B10" s="2" t="s">
        <v>10</v>
      </c>
      <c r="C10" s="1">
        <f>VLOOKUP($B$5:$B$16,'PLATE COUNT-D-MESS'!$B$4:$G$15,2,0)</f>
        <v>22752</v>
      </c>
      <c r="D10" s="1">
        <f>VLOOKUP($B$5:$B$16,'FOOD WASTAGE-D-MESS'!$B$4:$G$15,2,0)</f>
        <v>1821</v>
      </c>
      <c r="E10" s="13">
        <f t="shared" si="0"/>
        <v>8.0036919831223621</v>
      </c>
      <c r="F10" s="1">
        <f>VLOOKUP($B$5:$B$16,'PLATE COUNT-D-MESS'!$B$4:$G$15,3,0)</f>
        <v>37614</v>
      </c>
      <c r="G10" s="1">
        <f>VLOOKUP($B$5:$B$16,'FOOD WASTAGE-D-MESS'!$B$4:$G$15,3,0)</f>
        <v>3057</v>
      </c>
      <c r="H10" s="13">
        <f t="shared" si="1"/>
        <v>8.1272930291912591</v>
      </c>
      <c r="I10" s="1">
        <f>VLOOKUP($B$5:$B$16,'PLATE COUNT-D-MESS'!$B$4:$G$15,4,0)</f>
        <v>42907</v>
      </c>
      <c r="J10" s="1">
        <f>VLOOKUP($B$5:$B$16,'FOOD WASTAGE-D-MESS'!$B$4:$G$15,4,0)</f>
        <v>0</v>
      </c>
      <c r="K10" s="1" t="str">
        <f t="shared" si="2"/>
        <v>0</v>
      </c>
      <c r="L10" s="1">
        <f>VLOOKUP($B$5:$B$16,'PLATE COUNT-D-MESS'!$B$4:$G$15,5,0)</f>
        <v>44457</v>
      </c>
      <c r="M10" s="1">
        <f>VLOOKUP($B$5:$B$16,'FOOD WASTAGE-D-MESS'!$B$4:$G$15,5,0)</f>
        <v>3583</v>
      </c>
      <c r="N10" s="64">
        <f t="shared" si="3"/>
        <v>8.0594731988213333</v>
      </c>
      <c r="O10" s="67"/>
      <c r="P10" s="2" t="s">
        <v>9</v>
      </c>
      <c r="Q10" s="13">
        <f t="shared" si="4"/>
        <v>4.8047192839707078</v>
      </c>
      <c r="R10" s="13">
        <f t="shared" si="5"/>
        <v>6.1118724305469048</v>
      </c>
      <c r="S10" s="13" t="str">
        <f t="shared" si="6"/>
        <v>0</v>
      </c>
      <c r="T10" s="13">
        <f t="shared" si="7"/>
        <v>5.7517401392111367</v>
      </c>
      <c r="U10" s="13">
        <f t="shared" si="8"/>
        <v>4.1670829634321871</v>
      </c>
    </row>
    <row r="11" spans="1:21" ht="19.5" customHeight="1" x14ac:dyDescent="0.3">
      <c r="A11" s="3">
        <v>7</v>
      </c>
      <c r="B11" s="2" t="s">
        <v>11</v>
      </c>
      <c r="C11" s="1">
        <f>VLOOKUP($B$5:$B$16,'PLATE COUNT-D-MESS'!$B$4:$G$15,2,0)</f>
        <v>13135</v>
      </c>
      <c r="D11" s="1">
        <f>VLOOKUP($B$5:$B$16,'FOOD WASTAGE-D-MESS'!$B$4:$G$15,2,0)</f>
        <v>745</v>
      </c>
      <c r="E11" s="13">
        <f t="shared" si="0"/>
        <v>5.6718690521507424</v>
      </c>
      <c r="F11" s="1">
        <f>VLOOKUP($B$5:$B$16,'PLATE COUNT-D-MESS'!$B$4:$G$15,3,0)</f>
        <v>24626</v>
      </c>
      <c r="G11" s="1">
        <f>VLOOKUP($B$5:$B$16,'FOOD WASTAGE-D-MESS'!$B$4:$G$15,3,0)</f>
        <v>2194</v>
      </c>
      <c r="H11" s="13">
        <f t="shared" si="1"/>
        <v>8.9092828717615529</v>
      </c>
      <c r="I11" s="1">
        <f>VLOOKUP($B$5:$B$16,'PLATE COUNT-D-MESS'!$B$4:$G$15,4,0)</f>
        <v>24790</v>
      </c>
      <c r="J11" s="1">
        <f>VLOOKUP($B$5:$B$16,'FOOD WASTAGE-D-MESS'!$B$4:$G$15,4,0)</f>
        <v>0</v>
      </c>
      <c r="K11" s="1" t="str">
        <f t="shared" si="2"/>
        <v>0</v>
      </c>
      <c r="L11" s="1">
        <f>VLOOKUP($B$5:$B$16,'PLATE COUNT-D-MESS'!$B$4:$G$15,5,0)</f>
        <v>26240</v>
      </c>
      <c r="M11" s="1">
        <f>VLOOKUP($B$5:$B$16,'FOOD WASTAGE-D-MESS'!$B$4:$G$15,5,0)</f>
        <v>2264</v>
      </c>
      <c r="N11" s="64">
        <f t="shared" si="3"/>
        <v>8.6280487804878039</v>
      </c>
      <c r="O11" s="67"/>
      <c r="P11" s="2" t="s">
        <v>10</v>
      </c>
      <c r="Q11" s="13">
        <f t="shared" si="4"/>
        <v>8.0036919831223621</v>
      </c>
      <c r="R11" s="13">
        <f t="shared" si="5"/>
        <v>8.1272930291912591</v>
      </c>
      <c r="S11" s="13" t="str">
        <f t="shared" si="6"/>
        <v>0</v>
      </c>
      <c r="T11" s="13">
        <f t="shared" si="7"/>
        <v>8.0594731988213333</v>
      </c>
      <c r="U11" s="13">
        <f t="shared" si="8"/>
        <v>6.0476145527837391</v>
      </c>
    </row>
    <row r="12" spans="1:21" ht="19.5" customHeight="1" x14ac:dyDescent="0.3">
      <c r="A12" s="3">
        <v>8</v>
      </c>
      <c r="B12" s="2" t="s">
        <v>12</v>
      </c>
      <c r="C12" s="1">
        <f>VLOOKUP($B$5:$B$16,'PLATE COUNT-D-MESS'!$B$4:$G$15,2,0)</f>
        <v>12493</v>
      </c>
      <c r="D12" s="1">
        <f>VLOOKUP($B$5:$B$16,'FOOD WASTAGE-D-MESS'!$B$4:$G$15,2,0)</f>
        <v>1006</v>
      </c>
      <c r="E12" s="13">
        <f t="shared" si="0"/>
        <v>8.0525094052669495</v>
      </c>
      <c r="F12" s="1">
        <f>VLOOKUP($B$5:$B$16,'PLATE COUNT-D-MESS'!$B$4:$G$15,3,0)</f>
        <v>21964</v>
      </c>
      <c r="G12" s="1">
        <f>VLOOKUP($B$5:$B$16,'FOOD WASTAGE-D-MESS'!$B$4:$G$15,3,0)</f>
        <v>1977</v>
      </c>
      <c r="H12" s="13">
        <f t="shared" si="1"/>
        <v>9.001092697140777</v>
      </c>
      <c r="I12" s="1">
        <f>VLOOKUP($B$5:$B$16,'PLATE COUNT-D-MESS'!$B$4:$G$15,4,0)</f>
        <v>26996</v>
      </c>
      <c r="J12" s="1">
        <f>VLOOKUP($B$5:$B$16,'FOOD WASTAGE-D-MESS'!$B$4:$G$15,4,0)</f>
        <v>0</v>
      </c>
      <c r="K12" s="1" t="str">
        <f t="shared" si="2"/>
        <v>0</v>
      </c>
      <c r="L12" s="1">
        <f>VLOOKUP($B$5:$B$16,'PLATE COUNT-D-MESS'!$B$4:$G$15,5,0)</f>
        <v>26996</v>
      </c>
      <c r="M12" s="1">
        <f>VLOOKUP($B$5:$B$16,'FOOD WASTAGE-D-MESS'!$B$4:$G$15,5,0)</f>
        <v>2411</v>
      </c>
      <c r="N12" s="64">
        <f t="shared" si="3"/>
        <v>8.9309527337383319</v>
      </c>
      <c r="O12" s="67"/>
      <c r="P12" s="2" t="s">
        <v>11</v>
      </c>
      <c r="Q12" s="13">
        <f t="shared" si="4"/>
        <v>5.6718690521507424</v>
      </c>
      <c r="R12" s="13">
        <f t="shared" si="5"/>
        <v>8.9092828717615529</v>
      </c>
      <c r="S12" s="13" t="str">
        <f t="shared" si="6"/>
        <v>0</v>
      </c>
      <c r="T12" s="13">
        <f t="shared" si="7"/>
        <v>8.6280487804878039</v>
      </c>
      <c r="U12" s="13">
        <f t="shared" si="8"/>
        <v>5.8023001761000241</v>
      </c>
    </row>
    <row r="13" spans="1:21" ht="19.5" customHeight="1" x14ac:dyDescent="0.3">
      <c r="A13" s="3">
        <v>9</v>
      </c>
      <c r="B13" s="2" t="s">
        <v>13</v>
      </c>
      <c r="C13" s="1">
        <f>VLOOKUP($B$5:$B$16,'PLATE COUNT-D-MESS'!$B$4:$G$15,2,0)</f>
        <v>4976</v>
      </c>
      <c r="D13" s="1">
        <f>VLOOKUP($B$5:$B$16,'FOOD WASTAGE-D-MESS'!$B$4:$G$15,2,0)</f>
        <v>205</v>
      </c>
      <c r="E13" s="13">
        <f t="shared" si="0"/>
        <v>4.119774919614148</v>
      </c>
      <c r="F13" s="1">
        <f>VLOOKUP($B$5:$B$16,'PLATE COUNT-D-MESS'!$B$4:$G$15,3,0)</f>
        <v>8673</v>
      </c>
      <c r="G13" s="1">
        <f>VLOOKUP($B$5:$B$16,'FOOD WASTAGE-D-MESS'!$B$4:$G$15,3,0)</f>
        <v>468</v>
      </c>
      <c r="H13" s="13">
        <f t="shared" si="1"/>
        <v>5.3960567277758562</v>
      </c>
      <c r="I13" s="1">
        <f>VLOOKUP($B$5:$B$16,'PLATE COUNT-D-MESS'!$B$4:$G$15,4,0)</f>
        <v>10715</v>
      </c>
      <c r="J13" s="1">
        <f>VLOOKUP($B$5:$B$16,'FOOD WASTAGE-D-MESS'!$B$4:$G$15,4,0)</f>
        <v>0</v>
      </c>
      <c r="K13" s="1" t="str">
        <f t="shared" si="2"/>
        <v>0</v>
      </c>
      <c r="L13" s="1">
        <f>VLOOKUP($B$5:$B$16,'PLATE COUNT-D-MESS'!$B$4:$G$15,5,0)</f>
        <v>10715</v>
      </c>
      <c r="M13" s="1">
        <f>VLOOKUP($B$5:$B$16,'FOOD WASTAGE-D-MESS'!$B$4:$G$15,5,0)</f>
        <v>525</v>
      </c>
      <c r="N13" s="64">
        <f t="shared" si="3"/>
        <v>4.899673355109659</v>
      </c>
      <c r="O13" s="67"/>
      <c r="P13" s="2" t="s">
        <v>12</v>
      </c>
      <c r="Q13" s="13">
        <f t="shared" si="4"/>
        <v>8.0525094052669495</v>
      </c>
      <c r="R13" s="13">
        <f t="shared" si="5"/>
        <v>9.001092697140777</v>
      </c>
      <c r="S13" s="13" t="str">
        <f t="shared" si="6"/>
        <v>0</v>
      </c>
      <c r="T13" s="13">
        <f t="shared" si="7"/>
        <v>8.9309527337383319</v>
      </c>
      <c r="U13" s="13">
        <f t="shared" si="8"/>
        <v>6.496138709036515</v>
      </c>
    </row>
    <row r="14" spans="1:21" ht="19.5" customHeight="1" x14ac:dyDescent="0.3">
      <c r="A14" s="3">
        <v>10</v>
      </c>
      <c r="B14" s="2" t="s">
        <v>14</v>
      </c>
      <c r="C14" s="1">
        <f>VLOOKUP($B$5:$B$16,'PLATE COUNT-D-MESS'!$B$4:$G$15,2,0)</f>
        <v>1395</v>
      </c>
      <c r="D14" s="1">
        <f>VLOOKUP($B$5:$B$16,'FOOD WASTAGE-D-MESS'!$B$4:$G$15,2,0)</f>
        <v>0</v>
      </c>
      <c r="E14" s="13">
        <f t="shared" si="0"/>
        <v>0</v>
      </c>
      <c r="F14" s="1">
        <f>VLOOKUP($B$5:$B$16,'PLATE COUNT-D-MESS'!$B$4:$G$15,3,0)</f>
        <v>1250</v>
      </c>
      <c r="G14" s="1">
        <f>VLOOKUP($B$5:$B$16,'FOOD WASTAGE-D-MESS'!$B$4:$G$15,3,0)</f>
        <v>0</v>
      </c>
      <c r="H14" s="13">
        <f t="shared" si="1"/>
        <v>0</v>
      </c>
      <c r="I14" s="1">
        <f>VLOOKUP($B$5:$B$16,'PLATE COUNT-D-MESS'!$B$4:$G$15,4,0)</f>
        <v>3480</v>
      </c>
      <c r="J14" s="1">
        <f>VLOOKUP($B$5:$B$16,'FOOD WASTAGE-D-MESS'!$B$4:$G$15,4,0)</f>
        <v>0</v>
      </c>
      <c r="K14" s="1" t="str">
        <f t="shared" si="2"/>
        <v>0</v>
      </c>
      <c r="L14" s="1">
        <f>VLOOKUP($B$5:$B$16,'PLATE COUNT-D-MESS'!$B$4:$G$15,5,0)</f>
        <v>3480</v>
      </c>
      <c r="M14" s="1">
        <f>VLOOKUP($B$5:$B$16,'FOOD WASTAGE-D-MESS'!$B$4:$G$15,5,0)</f>
        <v>0</v>
      </c>
      <c r="N14" s="64">
        <f t="shared" si="3"/>
        <v>0</v>
      </c>
      <c r="O14" s="67"/>
      <c r="P14" s="2" t="s">
        <v>13</v>
      </c>
      <c r="Q14" s="13">
        <f t="shared" si="4"/>
        <v>4.119774919614148</v>
      </c>
      <c r="R14" s="13">
        <f t="shared" si="5"/>
        <v>5.3960567277758562</v>
      </c>
      <c r="S14" s="13" t="str">
        <f t="shared" si="6"/>
        <v>0</v>
      </c>
      <c r="T14" s="13">
        <f t="shared" si="7"/>
        <v>4.899673355109659</v>
      </c>
      <c r="U14" s="13">
        <f t="shared" si="8"/>
        <v>3.603876250624916</v>
      </c>
    </row>
    <row r="15" spans="1:21" ht="19.5" customHeight="1" x14ac:dyDescent="0.3">
      <c r="A15" s="3">
        <v>11</v>
      </c>
      <c r="B15" s="2" t="s">
        <v>15</v>
      </c>
      <c r="C15" s="1">
        <f>VLOOKUP($B$5:$B$16,'PLATE COUNT-D-MESS'!$B$4:$G$15,2,0)</f>
        <v>22356</v>
      </c>
      <c r="D15" s="1">
        <f>VLOOKUP($B$5:$B$16,'FOOD WASTAGE-D-MESS'!$B$4:$G$15,2,0)</f>
        <v>887</v>
      </c>
      <c r="E15" s="13">
        <f t="shared" si="0"/>
        <v>3.9676149579531224</v>
      </c>
      <c r="F15" s="1">
        <f>VLOOKUP($B$5:$B$16,'PLATE COUNT-D-MESS'!$B$4:$G$15,3,0)</f>
        <v>43656</v>
      </c>
      <c r="G15" s="1">
        <f>VLOOKUP($B$5:$B$16,'FOOD WASTAGE-D-MESS'!$B$4:$G$15,3,0)</f>
        <v>1680</v>
      </c>
      <c r="H15" s="13">
        <f t="shared" si="1"/>
        <v>3.8482682792743264</v>
      </c>
      <c r="I15" s="1">
        <f>VLOOKUP($B$5:$B$16,'PLATE COUNT-D-MESS'!$B$4:$G$15,4,0)</f>
        <v>51643</v>
      </c>
      <c r="J15" s="1">
        <f>VLOOKUP($B$5:$B$16,'FOOD WASTAGE-D-MESS'!$B$4:$G$15,4,0)</f>
        <v>0</v>
      </c>
      <c r="K15" s="1" t="str">
        <f t="shared" si="2"/>
        <v>0</v>
      </c>
      <c r="L15" s="1">
        <f>VLOOKUP($B$5:$B$16,'PLATE COUNT-D-MESS'!$B$4:$G$15,5,0)</f>
        <v>51643</v>
      </c>
      <c r="M15" s="1">
        <f>VLOOKUP($B$5:$B$16,'FOOD WASTAGE-D-MESS'!$B$4:$G$15,5,0)</f>
        <v>1867</v>
      </c>
      <c r="N15" s="64">
        <f t="shared" si="3"/>
        <v>3.6152043839436128</v>
      </c>
      <c r="O15" s="67"/>
      <c r="P15" s="2" t="s">
        <v>14</v>
      </c>
      <c r="Q15" s="13">
        <f t="shared" si="4"/>
        <v>0</v>
      </c>
      <c r="R15" s="13">
        <f t="shared" si="5"/>
        <v>0</v>
      </c>
      <c r="S15" s="13" t="str">
        <f t="shared" si="6"/>
        <v>0</v>
      </c>
      <c r="T15" s="13">
        <f t="shared" si="7"/>
        <v>0</v>
      </c>
      <c r="U15" s="13">
        <f t="shared" si="8"/>
        <v>0</v>
      </c>
    </row>
    <row r="16" spans="1:21" ht="19.5" customHeight="1" x14ac:dyDescent="0.3">
      <c r="A16" s="3">
        <v>12</v>
      </c>
      <c r="B16" s="2" t="s">
        <v>27</v>
      </c>
      <c r="C16" s="1">
        <f>VLOOKUP($B$5:$B$16,'PLATE COUNT-D-MESS'!$B$4:$G$15,2,0)</f>
        <v>21414</v>
      </c>
      <c r="D16" s="1">
        <f>VLOOKUP($B$5:$B$16,'FOOD WASTAGE-D-MESS'!$B$4:$G$15,2,0)</f>
        <v>1013</v>
      </c>
      <c r="E16" s="13">
        <f t="shared" si="0"/>
        <v>4.7305501074063701</v>
      </c>
      <c r="F16" s="1">
        <f>VLOOKUP($B$5:$B$16,'PLATE COUNT-D-MESS'!$B$4:$G$15,3,0)</f>
        <v>49248</v>
      </c>
      <c r="G16" s="1">
        <f>VLOOKUP($B$5:$B$16,'FOOD WASTAGE-D-MESS'!$B$4:$G$15,3,0)</f>
        <v>1720</v>
      </c>
      <c r="H16" s="13">
        <f t="shared" si="1"/>
        <v>3.4925276153346325</v>
      </c>
      <c r="I16" s="1">
        <f>VLOOKUP($B$5:$B$16,'PLATE COUNT-D-MESS'!$B$4:$G$15,4,0)</f>
        <v>47967</v>
      </c>
      <c r="J16" s="1">
        <f>VLOOKUP($B$5:$B$16,'FOOD WASTAGE-D-MESS'!$B$4:$G$15,4,0)</f>
        <v>0</v>
      </c>
      <c r="K16" s="1" t="str">
        <f t="shared" si="2"/>
        <v>0</v>
      </c>
      <c r="L16" s="1">
        <f>VLOOKUP($B$5:$B$16,'PLATE COUNT-D-MESS'!$B$4:$G$15,5,0)</f>
        <v>47967</v>
      </c>
      <c r="M16" s="1">
        <f>VLOOKUP($B$5:$B$16,'FOOD WASTAGE-D-MESS'!$B$4:$G$15,5,0)</f>
        <v>2248</v>
      </c>
      <c r="N16" s="64">
        <f t="shared" si="3"/>
        <v>4.6865553401296722</v>
      </c>
      <c r="O16" s="67"/>
      <c r="P16" s="2" t="s">
        <v>15</v>
      </c>
      <c r="Q16" s="13">
        <f t="shared" si="4"/>
        <v>3.9676149579531224</v>
      </c>
      <c r="R16" s="13">
        <f t="shared" si="5"/>
        <v>3.8482682792743264</v>
      </c>
      <c r="S16" s="13" t="str">
        <f t="shared" si="6"/>
        <v>0</v>
      </c>
      <c r="T16" s="13">
        <f t="shared" si="7"/>
        <v>3.6152043839436128</v>
      </c>
      <c r="U16" s="13">
        <f t="shared" si="8"/>
        <v>2.8577719052927653</v>
      </c>
    </row>
    <row r="17" spans="1:21" ht="19.5" customHeight="1" thickBot="1" x14ac:dyDescent="0.35">
      <c r="A17" s="12"/>
      <c r="B17" s="8" t="s">
        <v>16</v>
      </c>
      <c r="C17" s="15">
        <f>SUBTOTAL(9,C4:C16)</f>
        <v>185621</v>
      </c>
      <c r="D17" s="15">
        <f t="shared" ref="D17:N17" si="9">SUBTOTAL(9,D4:D16)</f>
        <v>9310</v>
      </c>
      <c r="E17" s="15">
        <f t="shared" si="9"/>
        <v>52.060810961690841</v>
      </c>
      <c r="F17" s="15">
        <f t="shared" si="9"/>
        <v>309813</v>
      </c>
      <c r="G17" s="15">
        <f t="shared" si="9"/>
        <v>20859</v>
      </c>
      <c r="H17" s="15">
        <f t="shared" si="9"/>
        <v>72.44353040998314</v>
      </c>
      <c r="I17" s="15">
        <f t="shared" si="9"/>
        <v>337413</v>
      </c>
      <c r="J17" s="15">
        <f t="shared" si="9"/>
        <v>0</v>
      </c>
      <c r="K17" s="15">
        <f t="shared" si="9"/>
        <v>0</v>
      </c>
      <c r="L17" s="15">
        <f t="shared" si="9"/>
        <v>340303</v>
      </c>
      <c r="M17" s="15">
        <f t="shared" si="9"/>
        <v>23423</v>
      </c>
      <c r="N17" s="65">
        <f t="shared" si="9"/>
        <v>71.573417308989093</v>
      </c>
      <c r="O17" s="67"/>
      <c r="P17" s="2" t="s">
        <v>27</v>
      </c>
      <c r="Q17" s="13">
        <f t="shared" si="4"/>
        <v>4.7305501074063701</v>
      </c>
      <c r="R17" s="13">
        <f t="shared" si="5"/>
        <v>3.4925276153346325</v>
      </c>
      <c r="S17" s="13" t="str">
        <f t="shared" si="6"/>
        <v>0</v>
      </c>
      <c r="T17" s="13">
        <f t="shared" si="7"/>
        <v>4.6865553401296722</v>
      </c>
      <c r="U17" s="13">
        <f t="shared" si="8"/>
        <v>3.2274082657176688</v>
      </c>
    </row>
    <row r="18" spans="1:21" ht="31.5" customHeight="1" thickBot="1" x14ac:dyDescent="0.35">
      <c r="O18" s="68"/>
      <c r="P18" s="84" t="s">
        <v>48</v>
      </c>
      <c r="Q18" s="84"/>
      <c r="R18" s="84"/>
      <c r="S18" s="84"/>
      <c r="T18" s="85"/>
      <c r="U18" s="46">
        <f>SUM(U6:U17)/(12)</f>
        <v>4.0849533058471472</v>
      </c>
    </row>
  </sheetData>
  <mergeCells count="5">
    <mergeCell ref="A1:N1"/>
    <mergeCell ref="A2:N2"/>
    <mergeCell ref="P3:U3"/>
    <mergeCell ref="P4:U4"/>
    <mergeCell ref="P18:T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opLeftCell="G4" workbookViewId="0">
      <selection activeCell="E18" sqref="E18"/>
    </sheetView>
  </sheetViews>
  <sheetFormatPr defaultRowHeight="38.25" customHeight="1" x14ac:dyDescent="0.3"/>
  <cols>
    <col min="2" max="2" width="15.44140625" customWidth="1"/>
    <col min="7" max="7" width="13.33203125" customWidth="1"/>
  </cols>
  <sheetData>
    <row r="1" spans="1:7" ht="27" customHeight="1" x14ac:dyDescent="0.3">
      <c r="A1" s="73" t="s">
        <v>69</v>
      </c>
      <c r="B1" s="74"/>
      <c r="C1" s="74"/>
      <c r="D1" s="74"/>
      <c r="E1" s="74"/>
      <c r="F1" s="74"/>
      <c r="G1" s="75"/>
    </row>
    <row r="2" spans="1:7" ht="24" customHeight="1" x14ac:dyDescent="0.3">
      <c r="A2" s="76" t="s">
        <v>30</v>
      </c>
      <c r="B2" s="77"/>
      <c r="C2" s="77"/>
      <c r="D2" s="77"/>
      <c r="E2" s="77"/>
      <c r="F2" s="77"/>
      <c r="G2" s="78"/>
    </row>
    <row r="3" spans="1:7" ht="38.25" customHeight="1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ht="20.25" customHeight="1" x14ac:dyDescent="0.3">
      <c r="A4" s="3">
        <v>1</v>
      </c>
      <c r="B4" s="2" t="s">
        <v>5</v>
      </c>
      <c r="C4" s="1">
        <v>1131</v>
      </c>
      <c r="D4" s="1">
        <v>2109</v>
      </c>
      <c r="E4" s="1">
        <v>0</v>
      </c>
      <c r="F4" s="1">
        <v>1918</v>
      </c>
      <c r="G4" s="4">
        <f>SUM(C4:F4)</f>
        <v>5158</v>
      </c>
    </row>
    <row r="5" spans="1:7" ht="20.25" customHeight="1" x14ac:dyDescent="0.3">
      <c r="A5" s="3">
        <v>2</v>
      </c>
      <c r="B5" s="2" t="s">
        <v>6</v>
      </c>
      <c r="C5" s="1">
        <v>1101</v>
      </c>
      <c r="D5" s="1">
        <v>1559</v>
      </c>
      <c r="E5" s="1">
        <v>0</v>
      </c>
      <c r="F5" s="1">
        <v>2017</v>
      </c>
      <c r="G5" s="4">
        <f t="shared" ref="G5:G15" si="0">SUM(C5:F5)</f>
        <v>4677</v>
      </c>
    </row>
    <row r="6" spans="1:7" ht="20.25" customHeight="1" x14ac:dyDescent="0.3">
      <c r="A6" s="3">
        <v>3</v>
      </c>
      <c r="B6" s="2" t="s">
        <v>7</v>
      </c>
      <c r="C6" s="1">
        <v>552</v>
      </c>
      <c r="D6" s="1">
        <v>834</v>
      </c>
      <c r="E6" s="1">
        <v>0</v>
      </c>
      <c r="F6" s="1">
        <v>903</v>
      </c>
      <c r="G6" s="4">
        <f t="shared" si="0"/>
        <v>2289</v>
      </c>
    </row>
    <row r="7" spans="1:7" ht="20.25" customHeight="1" x14ac:dyDescent="0.3">
      <c r="A7" s="3">
        <v>4</v>
      </c>
      <c r="B7" s="2" t="s">
        <v>8</v>
      </c>
      <c r="C7" s="1">
        <v>692</v>
      </c>
      <c r="D7" s="1">
        <v>983</v>
      </c>
      <c r="E7" s="1">
        <v>0</v>
      </c>
      <c r="F7" s="1">
        <v>1171</v>
      </c>
      <c r="G7" s="4">
        <f t="shared" si="0"/>
        <v>2846</v>
      </c>
    </row>
    <row r="8" spans="1:7" ht="20.25" customHeight="1" x14ac:dyDescent="0.3">
      <c r="A8" s="3">
        <v>5</v>
      </c>
      <c r="B8" s="2" t="s">
        <v>9</v>
      </c>
      <c r="C8" s="1">
        <v>926</v>
      </c>
      <c r="D8" s="1">
        <v>1180</v>
      </c>
      <c r="E8" s="1">
        <v>0</v>
      </c>
      <c r="F8" s="1">
        <v>1454</v>
      </c>
      <c r="G8" s="4">
        <f t="shared" si="0"/>
        <v>3560</v>
      </c>
    </row>
    <row r="9" spans="1:7" ht="20.25" customHeight="1" x14ac:dyDescent="0.3">
      <c r="A9" s="3">
        <v>6</v>
      </c>
      <c r="B9" s="2" t="s">
        <v>10</v>
      </c>
      <c r="C9" s="1">
        <v>768</v>
      </c>
      <c r="D9" s="1">
        <v>1160</v>
      </c>
      <c r="E9" s="1">
        <v>0</v>
      </c>
      <c r="F9" s="1">
        <v>1434</v>
      </c>
      <c r="G9" s="4">
        <f t="shared" si="0"/>
        <v>3362</v>
      </c>
    </row>
    <row r="10" spans="1:7" ht="20.25" customHeight="1" x14ac:dyDescent="0.3">
      <c r="A10" s="3">
        <v>7</v>
      </c>
      <c r="B10" s="2" t="s">
        <v>11</v>
      </c>
      <c r="C10" s="1">
        <v>767</v>
      </c>
      <c r="D10" s="1">
        <v>1162</v>
      </c>
      <c r="E10" s="1">
        <v>0</v>
      </c>
      <c r="F10" s="1">
        <v>1428</v>
      </c>
      <c r="G10" s="4">
        <f t="shared" si="0"/>
        <v>3357</v>
      </c>
    </row>
    <row r="11" spans="1:7" ht="20.25" customHeight="1" x14ac:dyDescent="0.3">
      <c r="A11" s="3">
        <v>8</v>
      </c>
      <c r="B11" s="2" t="s">
        <v>12</v>
      </c>
      <c r="C11" s="1">
        <v>656</v>
      </c>
      <c r="D11" s="1">
        <v>1094</v>
      </c>
      <c r="E11" s="1">
        <v>0</v>
      </c>
      <c r="F11" s="1">
        <v>1241</v>
      </c>
      <c r="G11" s="4">
        <f t="shared" si="0"/>
        <v>2991</v>
      </c>
    </row>
    <row r="12" spans="1:7" ht="20.25" customHeight="1" x14ac:dyDescent="0.3">
      <c r="A12" s="3">
        <v>9</v>
      </c>
      <c r="B12" s="2" t="s">
        <v>13</v>
      </c>
      <c r="C12" s="1">
        <v>389</v>
      </c>
      <c r="D12" s="1">
        <v>659</v>
      </c>
      <c r="E12" s="1">
        <v>0</v>
      </c>
      <c r="F12" s="1">
        <v>838</v>
      </c>
      <c r="G12" s="4">
        <f t="shared" si="0"/>
        <v>1886</v>
      </c>
    </row>
    <row r="13" spans="1:7" ht="20.25" customHeight="1" x14ac:dyDescent="0.3">
      <c r="A13" s="3">
        <v>10</v>
      </c>
      <c r="B13" s="2" t="s">
        <v>14</v>
      </c>
      <c r="C13" s="1">
        <v>254</v>
      </c>
      <c r="D13" s="1">
        <v>424</v>
      </c>
      <c r="E13" s="1">
        <v>0</v>
      </c>
      <c r="F13" s="1">
        <v>530</v>
      </c>
      <c r="G13" s="4">
        <f t="shared" si="0"/>
        <v>1208</v>
      </c>
    </row>
    <row r="14" spans="1:7" ht="20.25" customHeight="1" x14ac:dyDescent="0.3">
      <c r="A14" s="3">
        <v>11</v>
      </c>
      <c r="B14" s="2" t="s">
        <v>15</v>
      </c>
      <c r="C14" s="1">
        <v>532</v>
      </c>
      <c r="D14" s="1">
        <v>971</v>
      </c>
      <c r="E14" s="1">
        <v>0</v>
      </c>
      <c r="F14" s="1">
        <v>1156</v>
      </c>
      <c r="G14" s="4">
        <f t="shared" si="0"/>
        <v>2659</v>
      </c>
    </row>
    <row r="15" spans="1:7" ht="20.25" customHeight="1" x14ac:dyDescent="0.3">
      <c r="A15" s="3">
        <v>12</v>
      </c>
      <c r="B15" s="2" t="s">
        <v>27</v>
      </c>
      <c r="C15" s="1">
        <v>596</v>
      </c>
      <c r="D15" s="1">
        <v>1096</v>
      </c>
      <c r="E15" s="1">
        <v>0</v>
      </c>
      <c r="F15" s="1">
        <v>1246</v>
      </c>
      <c r="G15" s="4">
        <f t="shared" si="0"/>
        <v>2938</v>
      </c>
    </row>
    <row r="16" spans="1:7" ht="20.25" customHeight="1" x14ac:dyDescent="0.3">
      <c r="A16" s="5"/>
      <c r="B16" s="8" t="s">
        <v>16</v>
      </c>
      <c r="C16" s="9">
        <f>SUBTOTAL(9,C4:C15)</f>
        <v>8364</v>
      </c>
      <c r="D16" s="9">
        <f t="shared" ref="D16:G16" si="1">SUBTOTAL(9,D4:D15)</f>
        <v>13231</v>
      </c>
      <c r="E16" s="9">
        <f t="shared" si="1"/>
        <v>0</v>
      </c>
      <c r="F16" s="9">
        <f t="shared" si="1"/>
        <v>15336</v>
      </c>
      <c r="G16" s="10">
        <f t="shared" si="1"/>
        <v>36931</v>
      </c>
    </row>
    <row r="17" spans="7:7" ht="38.25" customHeight="1" x14ac:dyDescent="0.3">
      <c r="G17" s="11"/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7" sqref="E7"/>
    </sheetView>
  </sheetViews>
  <sheetFormatPr defaultRowHeight="29.25" customHeight="1" x14ac:dyDescent="0.3"/>
  <cols>
    <col min="1" max="1" width="5.109375" customWidth="1"/>
    <col min="2" max="2" width="10.5546875" customWidth="1"/>
    <col min="3" max="3" width="11.33203125" customWidth="1"/>
    <col min="5" max="5" width="12.88671875" customWidth="1"/>
    <col min="7" max="7" width="13.44140625" customWidth="1"/>
  </cols>
  <sheetData>
    <row r="1" spans="1:7" ht="29.25" customHeight="1" x14ac:dyDescent="0.3">
      <c r="A1" s="80" t="s">
        <v>42</v>
      </c>
      <c r="B1" s="77"/>
      <c r="C1" s="77"/>
      <c r="D1" s="77"/>
      <c r="E1" s="77"/>
      <c r="F1" s="77"/>
      <c r="G1" s="83"/>
    </row>
    <row r="2" spans="1:7" ht="29.25" customHeight="1" x14ac:dyDescent="0.3">
      <c r="A2" s="80" t="s">
        <v>49</v>
      </c>
      <c r="B2" s="77"/>
      <c r="C2" s="77"/>
      <c r="D2" s="77"/>
      <c r="E2" s="77"/>
      <c r="F2" s="77"/>
      <c r="G2" s="83"/>
    </row>
    <row r="3" spans="1:7" ht="29.25" customHeight="1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ht="29.25" customHeight="1" x14ac:dyDescent="0.3">
      <c r="A4" s="1">
        <v>1</v>
      </c>
      <c r="B4" s="2" t="s">
        <v>5</v>
      </c>
      <c r="C4" s="1">
        <v>18560</v>
      </c>
      <c r="D4" s="1">
        <v>23780</v>
      </c>
      <c r="E4" s="1">
        <v>25070</v>
      </c>
      <c r="F4" s="1">
        <v>24990</v>
      </c>
      <c r="G4" s="1">
        <f>SUM(C4:F4)</f>
        <v>92400</v>
      </c>
    </row>
    <row r="5" spans="1:7" ht="29.25" customHeight="1" x14ac:dyDescent="0.3">
      <c r="A5" s="1">
        <v>2</v>
      </c>
      <c r="B5" s="2" t="s">
        <v>6</v>
      </c>
      <c r="C5" s="1">
        <v>19820</v>
      </c>
      <c r="D5" s="1">
        <v>22415</v>
      </c>
      <c r="E5" s="1">
        <v>24565</v>
      </c>
      <c r="F5" s="1">
        <v>24155</v>
      </c>
      <c r="G5" s="1">
        <f t="shared" ref="G5:G15" si="0">SUM(C5:F5)</f>
        <v>90955</v>
      </c>
    </row>
    <row r="6" spans="1:7" ht="29.25" customHeight="1" x14ac:dyDescent="0.3">
      <c r="A6" s="1">
        <v>3</v>
      </c>
      <c r="B6" s="2" t="s">
        <v>7</v>
      </c>
      <c r="C6" s="1">
        <v>9630</v>
      </c>
      <c r="D6" s="1">
        <v>10435</v>
      </c>
      <c r="E6" s="1">
        <v>11113</v>
      </c>
      <c r="F6" s="1">
        <v>11048</v>
      </c>
      <c r="G6" s="1">
        <f t="shared" si="0"/>
        <v>42226</v>
      </c>
    </row>
    <row r="7" spans="1:7" ht="29.25" customHeight="1" x14ac:dyDescent="0.3">
      <c r="A7" s="1">
        <v>4</v>
      </c>
      <c r="B7" s="2" t="s">
        <v>8</v>
      </c>
      <c r="C7" s="1">
        <v>18070</v>
      </c>
      <c r="D7" s="1">
        <v>20685</v>
      </c>
      <c r="E7" s="1">
        <v>22218</v>
      </c>
      <c r="F7" s="1">
        <v>22218</v>
      </c>
      <c r="G7" s="1">
        <f t="shared" si="0"/>
        <v>83191</v>
      </c>
    </row>
    <row r="8" spans="1:7" ht="29.25" customHeight="1" x14ac:dyDescent="0.3">
      <c r="A8" s="1">
        <v>5</v>
      </c>
      <c r="B8" s="2" t="s">
        <v>9</v>
      </c>
      <c r="C8" s="1">
        <v>28621</v>
      </c>
      <c r="D8" s="1">
        <v>33720</v>
      </c>
      <c r="E8" s="1">
        <v>37262</v>
      </c>
      <c r="F8" s="1">
        <v>37262</v>
      </c>
      <c r="G8" s="1">
        <f t="shared" si="0"/>
        <v>136865</v>
      </c>
    </row>
    <row r="9" spans="1:7" ht="29.25" customHeight="1" x14ac:dyDescent="0.3">
      <c r="A9" s="1">
        <v>6</v>
      </c>
      <c r="B9" s="2" t="s">
        <v>10</v>
      </c>
      <c r="C9" s="1">
        <v>25850</v>
      </c>
      <c r="D9" s="1">
        <v>33820</v>
      </c>
      <c r="E9" s="1">
        <v>36740</v>
      </c>
      <c r="F9" s="1">
        <v>36770</v>
      </c>
      <c r="G9" s="1">
        <f t="shared" si="0"/>
        <v>133180</v>
      </c>
    </row>
    <row r="10" spans="1:7" ht="29.25" customHeight="1" x14ac:dyDescent="0.3">
      <c r="A10" s="1">
        <v>7</v>
      </c>
      <c r="B10" s="2" t="s">
        <v>11</v>
      </c>
      <c r="C10" s="1">
        <v>23980</v>
      </c>
      <c r="D10" s="1">
        <v>37370</v>
      </c>
      <c r="E10" s="1">
        <v>43070</v>
      </c>
      <c r="F10" s="1">
        <v>43070</v>
      </c>
      <c r="G10" s="1">
        <f t="shared" si="0"/>
        <v>147490</v>
      </c>
    </row>
    <row r="11" spans="1:7" ht="29.25" customHeight="1" x14ac:dyDescent="0.3">
      <c r="A11" s="1">
        <v>8</v>
      </c>
      <c r="B11" s="2" t="s">
        <v>12</v>
      </c>
      <c r="C11" s="1">
        <v>25900</v>
      </c>
      <c r="D11" s="1">
        <v>35500</v>
      </c>
      <c r="E11" s="1">
        <v>39475</v>
      </c>
      <c r="F11" s="1">
        <v>39475</v>
      </c>
      <c r="G11" s="1">
        <f t="shared" si="0"/>
        <v>140350</v>
      </c>
    </row>
    <row r="12" spans="1:7" ht="29.25" customHeight="1" x14ac:dyDescent="0.3">
      <c r="A12" s="1">
        <v>9</v>
      </c>
      <c r="B12" s="2" t="s">
        <v>13</v>
      </c>
      <c r="C12" s="1">
        <v>15635</v>
      </c>
      <c r="D12" s="1">
        <v>20235</v>
      </c>
      <c r="E12" s="1">
        <v>21520</v>
      </c>
      <c r="F12" s="1">
        <v>21640</v>
      </c>
      <c r="G12" s="1">
        <f t="shared" si="0"/>
        <v>79030</v>
      </c>
    </row>
    <row r="13" spans="1:7" ht="29.25" customHeight="1" x14ac:dyDescent="0.3">
      <c r="A13" s="1">
        <v>10</v>
      </c>
      <c r="B13" s="2" t="s">
        <v>14</v>
      </c>
      <c r="C13" s="1">
        <v>20310</v>
      </c>
      <c r="D13" s="1">
        <v>24910</v>
      </c>
      <c r="E13" s="1">
        <v>26700</v>
      </c>
      <c r="F13" s="1">
        <v>27480</v>
      </c>
      <c r="G13" s="1">
        <f t="shared" si="0"/>
        <v>99400</v>
      </c>
    </row>
    <row r="14" spans="1:7" ht="29.25" customHeight="1" x14ac:dyDescent="0.3">
      <c r="A14" s="1">
        <v>11</v>
      </c>
      <c r="B14" s="2" t="s">
        <v>15</v>
      </c>
      <c r="C14" s="1">
        <v>28741</v>
      </c>
      <c r="D14" s="1">
        <v>42120</v>
      </c>
      <c r="E14" s="1">
        <v>44180</v>
      </c>
      <c r="F14" s="1">
        <v>44180</v>
      </c>
      <c r="G14" s="1">
        <f t="shared" si="0"/>
        <v>159221</v>
      </c>
    </row>
    <row r="15" spans="1:7" ht="29.25" customHeight="1" x14ac:dyDescent="0.3">
      <c r="A15" s="1">
        <v>12</v>
      </c>
      <c r="B15" s="2" t="s">
        <v>27</v>
      </c>
      <c r="C15" s="1">
        <v>28770</v>
      </c>
      <c r="D15" s="1">
        <v>45250</v>
      </c>
      <c r="E15" s="1">
        <v>46430</v>
      </c>
      <c r="F15" s="1">
        <v>46430</v>
      </c>
      <c r="G15" s="1">
        <f t="shared" si="0"/>
        <v>166880</v>
      </c>
    </row>
    <row r="16" spans="1:7" ht="29.25" customHeight="1" x14ac:dyDescent="0.3">
      <c r="A16" s="2"/>
      <c r="B16" s="19" t="s">
        <v>16</v>
      </c>
      <c r="C16" s="19">
        <f>SUBTOTAL(9,C4:C15)</f>
        <v>263887</v>
      </c>
      <c r="D16" s="19">
        <f t="shared" ref="D16:G16" si="1">SUBTOTAL(9,D4:D15)</f>
        <v>350240</v>
      </c>
      <c r="E16" s="19">
        <f t="shared" si="1"/>
        <v>378343</v>
      </c>
      <c r="F16" s="19">
        <f t="shared" si="1"/>
        <v>378718</v>
      </c>
      <c r="G16" s="19">
        <f t="shared" si="1"/>
        <v>1371188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9"/>
  <sheetViews>
    <sheetView topLeftCell="F1" workbookViewId="0">
      <selection activeCell="J9" sqref="J9"/>
    </sheetView>
  </sheetViews>
  <sheetFormatPr defaultRowHeight="27" customHeight="1" x14ac:dyDescent="0.3"/>
  <cols>
    <col min="1" max="1" width="8.109375" customWidth="1"/>
    <col min="2" max="2" width="17.44140625" customWidth="1"/>
    <col min="3" max="14" width="12" customWidth="1"/>
    <col min="16" max="17" width="15.109375" customWidth="1"/>
    <col min="18" max="18" width="19.88671875" customWidth="1"/>
    <col min="19" max="21" width="15.109375" customWidth="1"/>
  </cols>
  <sheetData>
    <row r="1" spans="1:21" ht="27" customHeight="1" x14ac:dyDescent="0.3">
      <c r="A1" s="73" t="s">
        <v>17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5"/>
    </row>
    <row r="2" spans="1:21" ht="27" customHeight="1" x14ac:dyDescent="0.3">
      <c r="A2" s="76" t="s">
        <v>58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21" ht="62.25" customHeight="1" x14ac:dyDescent="0.3">
      <c r="A3" s="19"/>
      <c r="B3" s="19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17" t="s">
        <v>39</v>
      </c>
      <c r="P3" s="79" t="s">
        <v>17</v>
      </c>
      <c r="Q3" s="79"/>
      <c r="R3" s="79"/>
      <c r="S3" s="79"/>
      <c r="T3" s="79"/>
      <c r="U3" s="79"/>
    </row>
    <row r="4" spans="1:21" ht="27" customHeight="1" x14ac:dyDescent="0.3">
      <c r="A4" s="19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17" t="s">
        <v>68</v>
      </c>
      <c r="J4" s="17" t="s">
        <v>68</v>
      </c>
      <c r="K4" s="17" t="s">
        <v>68</v>
      </c>
      <c r="L4" s="19" t="s">
        <v>3</v>
      </c>
      <c r="M4" s="19" t="s">
        <v>3</v>
      </c>
      <c r="N4" s="19" t="s">
        <v>3</v>
      </c>
      <c r="O4" s="70"/>
      <c r="P4" s="79" t="s">
        <v>59</v>
      </c>
      <c r="Q4" s="79"/>
      <c r="R4" s="79"/>
      <c r="S4" s="79"/>
      <c r="T4" s="79"/>
      <c r="U4" s="79"/>
    </row>
    <row r="5" spans="1:21" ht="18" customHeight="1" x14ac:dyDescent="0.3">
      <c r="A5" s="3">
        <v>1</v>
      </c>
      <c r="B5" s="2" t="s">
        <v>5</v>
      </c>
      <c r="C5" s="1">
        <f>VLOOKUP($B$5:$B$16,'PLATE COUNT-SENBAGAM MESS'!$B$4:$F$15,2,0)</f>
        <v>18560</v>
      </c>
      <c r="D5" s="1">
        <f>VLOOKUP($B$5:$B$16,'FOOD WASTAGE-SENBAGAM MESS'!$B$4:$G$15,2,0)</f>
        <v>1131</v>
      </c>
      <c r="E5" s="13">
        <f>IFERROR(SUM(D5/C5*100),"0")</f>
        <v>6.09375</v>
      </c>
      <c r="F5" s="1">
        <f>VLOOKUP($B$5:$B$16,'PLATE COUNT-SENBAGAM MESS'!$B$4:$F$15,3,0)</f>
        <v>23780</v>
      </c>
      <c r="G5" s="1">
        <f>VLOOKUP($B$5:$B$16,'FOOD WASTAGE-SENBAGAM MESS'!$B$4:$G$15,3,0)</f>
        <v>2109</v>
      </c>
      <c r="H5" s="13">
        <f>IFERROR(SUM(G5/F5*100),"0")</f>
        <v>8.8687973086627423</v>
      </c>
      <c r="I5" s="1">
        <f>VLOOKUP($B$5:$B$16,'PLATE COUNT-SENBAGAM MESS'!$B$4:$F$15,4,0)</f>
        <v>25070</v>
      </c>
      <c r="J5" s="1">
        <f>VLOOKUP($B$5:$B$16,'FOOD WASTAGE-SENBAGAM MESS'!$B$4:$G$15,4,0)</f>
        <v>0</v>
      </c>
      <c r="K5" s="1" t="str">
        <f>IFERROR(SUM(I5/J5),"0")</f>
        <v>0</v>
      </c>
      <c r="L5" s="1">
        <f>VLOOKUP($B$5:$B$16,'PLATE COUNT-SENBAGAM MESS'!$B$4:$F$15,5,0)</f>
        <v>24990</v>
      </c>
      <c r="M5" s="1">
        <f>VLOOKUP($B$5:$B$16,'FOOD WASTAGE-SENBAGAM MESS'!$B$4:$G$15,5,0)</f>
        <v>1918</v>
      </c>
      <c r="N5" s="14">
        <f>IFERROR(SUM(M5/L5*100),"0")</f>
        <v>7.6750700280112047</v>
      </c>
      <c r="P5" s="19" t="s">
        <v>0</v>
      </c>
      <c r="Q5" s="19" t="s">
        <v>25</v>
      </c>
      <c r="R5" s="19" t="s">
        <v>1</v>
      </c>
      <c r="S5" s="17" t="s">
        <v>68</v>
      </c>
      <c r="T5" s="19" t="s">
        <v>3</v>
      </c>
      <c r="U5" s="17" t="s">
        <v>40</v>
      </c>
    </row>
    <row r="6" spans="1:21" ht="18" customHeight="1" x14ac:dyDescent="0.3">
      <c r="A6" s="3">
        <v>2</v>
      </c>
      <c r="B6" s="2" t="s">
        <v>6</v>
      </c>
      <c r="C6" s="1">
        <f>VLOOKUP($B$5:$B$16,'PLATE COUNT-SENBAGAM MESS'!$B$4:$F$15,2,0)</f>
        <v>19820</v>
      </c>
      <c r="D6" s="1">
        <f>VLOOKUP($B$5:$B$16,'FOOD WASTAGE-SENBAGAM MESS'!$B$4:$G$15,2,0)</f>
        <v>1101</v>
      </c>
      <c r="E6" s="13">
        <f t="shared" ref="E6:E16" si="0">IFERROR(SUM(D6/C6*100),"0")</f>
        <v>5.5549949545913222</v>
      </c>
      <c r="F6" s="1">
        <f>VLOOKUP($B$5:$B$16,'PLATE COUNT-SENBAGAM MESS'!$B$4:$F$15,3,0)</f>
        <v>22415</v>
      </c>
      <c r="G6" s="1">
        <f>VLOOKUP($B$5:$B$16,'FOOD WASTAGE-SENBAGAM MESS'!$B$4:$G$15,3,0)</f>
        <v>1559</v>
      </c>
      <c r="H6" s="13">
        <f t="shared" ref="H6:H16" si="1">IFERROR(SUM(G6/F6*100),"0")</f>
        <v>6.9551639527102385</v>
      </c>
      <c r="I6" s="1">
        <f>VLOOKUP($B$5:$B$16,'PLATE COUNT-SENBAGAM MESS'!$B$4:$F$15,4,0)</f>
        <v>24565</v>
      </c>
      <c r="J6" s="1">
        <f>VLOOKUP($B$5:$B$16,'FOOD WASTAGE-SENBAGAM MESS'!$B$4:$G$15,4,0)</f>
        <v>0</v>
      </c>
      <c r="K6" s="1" t="str">
        <f t="shared" ref="K6:K16" si="2">IFERROR(SUM(I6/J6),"0")</f>
        <v>0</v>
      </c>
      <c r="L6" s="1">
        <f>VLOOKUP($B$5:$B$16,'PLATE COUNT-SENBAGAM MESS'!$B$4:$F$15,5,0)</f>
        <v>24155</v>
      </c>
      <c r="M6" s="1">
        <f>VLOOKUP($B$5:$B$16,'FOOD WASTAGE-SENBAGAM MESS'!$B$4:$G$15,5,0)</f>
        <v>2017</v>
      </c>
      <c r="N6" s="14">
        <f t="shared" ref="N6:N16" si="3">IFERROR(SUM(M6/L6*100),"0")</f>
        <v>8.3502380459532191</v>
      </c>
      <c r="P6" s="2" t="s">
        <v>5</v>
      </c>
      <c r="Q6" s="13">
        <f t="shared" ref="Q6:Q17" si="4">VLOOKUP($P$6:$P$17,$B$4:$N$16,4,0)</f>
        <v>6.09375</v>
      </c>
      <c r="R6" s="13">
        <f t="shared" ref="R6:R17" si="5">VLOOKUP($P$6:$P$17,$B$4:$N$16,7,0)</f>
        <v>8.8687973086627423</v>
      </c>
      <c r="S6" s="13" t="str">
        <f t="shared" ref="S6:S17" si="6">VLOOKUP($P$6:$P$17,$B$4:$N$16,10,0)</f>
        <v>0</v>
      </c>
      <c r="T6" s="13">
        <f t="shared" ref="T6:T17" si="7">VLOOKUP($P$6:$P$17,$B$4:$N$16,13,0)</f>
        <v>7.6750700280112047</v>
      </c>
      <c r="U6" s="13">
        <f>SUM(Q6:T6)/4</f>
        <v>5.659404334168487</v>
      </c>
    </row>
    <row r="7" spans="1:21" ht="18" customHeight="1" x14ac:dyDescent="0.3">
      <c r="A7" s="3">
        <v>3</v>
      </c>
      <c r="B7" s="2" t="s">
        <v>7</v>
      </c>
      <c r="C7" s="1">
        <f>VLOOKUP($B$5:$B$16,'PLATE COUNT-SENBAGAM MESS'!$B$4:$F$15,2,0)</f>
        <v>9630</v>
      </c>
      <c r="D7" s="1">
        <f>VLOOKUP($B$5:$B$16,'FOOD WASTAGE-SENBAGAM MESS'!$B$4:$G$15,2,0)</f>
        <v>552</v>
      </c>
      <c r="E7" s="13">
        <f t="shared" si="0"/>
        <v>5.73208722741433</v>
      </c>
      <c r="F7" s="1">
        <f>VLOOKUP($B$5:$B$16,'PLATE COUNT-SENBAGAM MESS'!$B$4:$F$15,3,0)</f>
        <v>10435</v>
      </c>
      <c r="G7" s="1">
        <f>VLOOKUP($B$5:$B$16,'FOOD WASTAGE-SENBAGAM MESS'!$B$4:$G$15,3,0)</f>
        <v>834</v>
      </c>
      <c r="H7" s="13">
        <f t="shared" si="1"/>
        <v>7.9923334930522287</v>
      </c>
      <c r="I7" s="1">
        <f>VLOOKUP($B$5:$B$16,'PLATE COUNT-SENBAGAM MESS'!$B$4:$F$15,4,0)</f>
        <v>11113</v>
      </c>
      <c r="J7" s="1">
        <f>VLOOKUP($B$5:$B$16,'FOOD WASTAGE-SENBAGAM MESS'!$B$4:$G$15,4,0)</f>
        <v>0</v>
      </c>
      <c r="K7" s="1" t="str">
        <f t="shared" si="2"/>
        <v>0</v>
      </c>
      <c r="L7" s="1">
        <f>VLOOKUP($B$5:$B$16,'PLATE COUNT-SENBAGAM MESS'!$B$4:$F$15,5,0)</f>
        <v>11048</v>
      </c>
      <c r="M7" s="1">
        <f>VLOOKUP($B$5:$B$16,'FOOD WASTAGE-SENBAGAM MESS'!$B$4:$G$15,5,0)</f>
        <v>903</v>
      </c>
      <c r="N7" s="14">
        <f t="shared" si="3"/>
        <v>8.1734250543084723</v>
      </c>
      <c r="P7" s="2" t="s">
        <v>6</v>
      </c>
      <c r="Q7" s="13">
        <f t="shared" si="4"/>
        <v>5.5549949545913222</v>
      </c>
      <c r="R7" s="13">
        <f t="shared" si="5"/>
        <v>6.9551639527102385</v>
      </c>
      <c r="S7" s="13" t="str">
        <f t="shared" si="6"/>
        <v>0</v>
      </c>
      <c r="T7" s="13">
        <f t="shared" si="7"/>
        <v>8.3502380459532191</v>
      </c>
      <c r="U7" s="13">
        <f t="shared" ref="U7:U17" si="8">SUM(Q7:T7)/4</f>
        <v>5.2150992383136945</v>
      </c>
    </row>
    <row r="8" spans="1:21" ht="18" customHeight="1" x14ac:dyDescent="0.3">
      <c r="A8" s="3">
        <v>4</v>
      </c>
      <c r="B8" s="2" t="s">
        <v>8</v>
      </c>
      <c r="C8" s="1">
        <f>VLOOKUP($B$5:$B$16,'PLATE COUNT-SENBAGAM MESS'!$B$4:$F$15,2,0)</f>
        <v>18070</v>
      </c>
      <c r="D8" s="1">
        <f>VLOOKUP($B$5:$B$16,'FOOD WASTAGE-SENBAGAM MESS'!$B$4:$G$15,2,0)</f>
        <v>692</v>
      </c>
      <c r="E8" s="13">
        <f t="shared" si="0"/>
        <v>3.8295517432208084</v>
      </c>
      <c r="F8" s="1">
        <f>VLOOKUP($B$5:$B$16,'PLATE COUNT-SENBAGAM MESS'!$B$4:$F$15,3,0)</f>
        <v>20685</v>
      </c>
      <c r="G8" s="1">
        <f>VLOOKUP($B$5:$B$16,'FOOD WASTAGE-SENBAGAM MESS'!$B$4:$G$15,3,0)</f>
        <v>983</v>
      </c>
      <c r="H8" s="13">
        <f t="shared" si="1"/>
        <v>4.7522359197486104</v>
      </c>
      <c r="I8" s="1">
        <f>VLOOKUP($B$5:$B$16,'PLATE COUNT-SENBAGAM MESS'!$B$4:$F$15,4,0)</f>
        <v>22218</v>
      </c>
      <c r="J8" s="1">
        <f>VLOOKUP($B$5:$B$16,'FOOD WASTAGE-SENBAGAM MESS'!$B$4:$G$15,4,0)</f>
        <v>0</v>
      </c>
      <c r="K8" s="1" t="str">
        <f t="shared" si="2"/>
        <v>0</v>
      </c>
      <c r="L8" s="1">
        <f>VLOOKUP($B$5:$B$16,'PLATE COUNT-SENBAGAM MESS'!$B$4:$F$15,5,0)</f>
        <v>22218</v>
      </c>
      <c r="M8" s="1">
        <f>VLOOKUP($B$5:$B$16,'FOOD WASTAGE-SENBAGAM MESS'!$B$4:$G$15,5,0)</f>
        <v>1171</v>
      </c>
      <c r="N8" s="14">
        <f t="shared" si="3"/>
        <v>5.2705013952651001</v>
      </c>
      <c r="P8" s="2" t="s">
        <v>7</v>
      </c>
      <c r="Q8" s="13">
        <f t="shared" si="4"/>
        <v>5.73208722741433</v>
      </c>
      <c r="R8" s="13">
        <f t="shared" si="5"/>
        <v>7.9923334930522287</v>
      </c>
      <c r="S8" s="13" t="str">
        <f t="shared" si="6"/>
        <v>0</v>
      </c>
      <c r="T8" s="13">
        <f t="shared" si="7"/>
        <v>8.1734250543084723</v>
      </c>
      <c r="U8" s="13">
        <f t="shared" si="8"/>
        <v>5.4744614436937571</v>
      </c>
    </row>
    <row r="9" spans="1:21" ht="18" customHeight="1" x14ac:dyDescent="0.3">
      <c r="A9" s="3">
        <v>5</v>
      </c>
      <c r="B9" s="2" t="s">
        <v>9</v>
      </c>
      <c r="C9" s="1">
        <f>VLOOKUP($B$5:$B$16,'PLATE COUNT-SENBAGAM MESS'!$B$4:$F$15,2,0)</f>
        <v>28621</v>
      </c>
      <c r="D9" s="1">
        <f>VLOOKUP($B$5:$B$16,'FOOD WASTAGE-SENBAGAM MESS'!$B$4:$G$15,2,0)</f>
        <v>926</v>
      </c>
      <c r="E9" s="13">
        <f t="shared" si="0"/>
        <v>3.2353866042416404</v>
      </c>
      <c r="F9" s="1">
        <f>VLOOKUP($B$5:$B$16,'PLATE COUNT-SENBAGAM MESS'!$B$4:$F$15,3,0)</f>
        <v>33720</v>
      </c>
      <c r="G9" s="1">
        <f>VLOOKUP($B$5:$B$16,'FOOD WASTAGE-SENBAGAM MESS'!$B$4:$G$15,3,0)</f>
        <v>1180</v>
      </c>
      <c r="H9" s="13">
        <f t="shared" si="1"/>
        <v>3.499406880189798</v>
      </c>
      <c r="I9" s="1">
        <f>VLOOKUP($B$5:$B$16,'PLATE COUNT-SENBAGAM MESS'!$B$4:$F$15,4,0)</f>
        <v>37262</v>
      </c>
      <c r="J9" s="1">
        <f>VLOOKUP($B$5:$B$16,'FOOD WASTAGE-SENBAGAM MESS'!$B$4:$G$15,4,0)</f>
        <v>0</v>
      </c>
      <c r="K9" s="1" t="str">
        <f t="shared" si="2"/>
        <v>0</v>
      </c>
      <c r="L9" s="1">
        <f>VLOOKUP($B$5:$B$16,'PLATE COUNT-SENBAGAM MESS'!$B$4:$F$15,5,0)</f>
        <v>37262</v>
      </c>
      <c r="M9" s="1">
        <f>VLOOKUP($B$5:$B$16,'FOOD WASTAGE-SENBAGAM MESS'!$B$4:$G$15,5,0)</f>
        <v>1454</v>
      </c>
      <c r="N9" s="14">
        <f t="shared" si="3"/>
        <v>3.9020986527829962</v>
      </c>
      <c r="P9" s="2" t="s">
        <v>8</v>
      </c>
      <c r="Q9" s="13">
        <f t="shared" si="4"/>
        <v>3.8295517432208084</v>
      </c>
      <c r="R9" s="13">
        <f t="shared" si="5"/>
        <v>4.7522359197486104</v>
      </c>
      <c r="S9" s="13" t="str">
        <f t="shared" si="6"/>
        <v>0</v>
      </c>
      <c r="T9" s="13">
        <f t="shared" si="7"/>
        <v>5.2705013952651001</v>
      </c>
      <c r="U9" s="13">
        <f t="shared" si="8"/>
        <v>3.4630722645586296</v>
      </c>
    </row>
    <row r="10" spans="1:21" ht="18" customHeight="1" x14ac:dyDescent="0.3">
      <c r="A10" s="3">
        <v>6</v>
      </c>
      <c r="B10" s="2" t="s">
        <v>10</v>
      </c>
      <c r="C10" s="1">
        <f>VLOOKUP($B$5:$B$16,'PLATE COUNT-SENBAGAM MESS'!$B$4:$F$15,2,0)</f>
        <v>25850</v>
      </c>
      <c r="D10" s="1">
        <f>VLOOKUP($B$5:$B$16,'FOOD WASTAGE-SENBAGAM MESS'!$B$4:$G$15,2,0)</f>
        <v>768</v>
      </c>
      <c r="E10" s="13">
        <f t="shared" si="0"/>
        <v>2.9709864603481626</v>
      </c>
      <c r="F10" s="1">
        <f>VLOOKUP($B$5:$B$16,'PLATE COUNT-SENBAGAM MESS'!$B$4:$F$15,3,0)</f>
        <v>33820</v>
      </c>
      <c r="G10" s="1">
        <f>VLOOKUP($B$5:$B$16,'FOOD WASTAGE-SENBAGAM MESS'!$B$4:$G$15,3,0)</f>
        <v>1160</v>
      </c>
      <c r="H10" s="13">
        <f t="shared" si="1"/>
        <v>3.4299231224127738</v>
      </c>
      <c r="I10" s="1">
        <f>VLOOKUP($B$5:$B$16,'PLATE COUNT-SENBAGAM MESS'!$B$4:$F$15,4,0)</f>
        <v>36740</v>
      </c>
      <c r="J10" s="1">
        <f>VLOOKUP($B$5:$B$16,'FOOD WASTAGE-SENBAGAM MESS'!$B$4:$G$15,4,0)</f>
        <v>0</v>
      </c>
      <c r="K10" s="1" t="str">
        <f t="shared" si="2"/>
        <v>0</v>
      </c>
      <c r="L10" s="1">
        <f>VLOOKUP($B$5:$B$16,'PLATE COUNT-SENBAGAM MESS'!$B$4:$F$15,5,0)</f>
        <v>36770</v>
      </c>
      <c r="M10" s="1">
        <f>VLOOKUP($B$5:$B$16,'FOOD WASTAGE-SENBAGAM MESS'!$B$4:$G$15,5,0)</f>
        <v>1434</v>
      </c>
      <c r="N10" s="14">
        <f t="shared" si="3"/>
        <v>3.899918411748708</v>
      </c>
      <c r="P10" s="2" t="s">
        <v>9</v>
      </c>
      <c r="Q10" s="13">
        <f t="shared" si="4"/>
        <v>3.2353866042416404</v>
      </c>
      <c r="R10" s="13">
        <f t="shared" si="5"/>
        <v>3.499406880189798</v>
      </c>
      <c r="S10" s="13" t="str">
        <f t="shared" si="6"/>
        <v>0</v>
      </c>
      <c r="T10" s="13">
        <f t="shared" si="7"/>
        <v>3.9020986527829962</v>
      </c>
      <c r="U10" s="13">
        <f t="shared" si="8"/>
        <v>2.6592230343036087</v>
      </c>
    </row>
    <row r="11" spans="1:21" ht="18" customHeight="1" x14ac:dyDescent="0.3">
      <c r="A11" s="3">
        <v>7</v>
      </c>
      <c r="B11" s="2" t="s">
        <v>11</v>
      </c>
      <c r="C11" s="1">
        <f>VLOOKUP($B$5:$B$16,'PLATE COUNT-SENBAGAM MESS'!$B$4:$F$15,2,0)</f>
        <v>23980</v>
      </c>
      <c r="D11" s="1">
        <f>VLOOKUP($B$5:$B$16,'FOOD WASTAGE-SENBAGAM MESS'!$B$4:$G$15,2,0)</f>
        <v>767</v>
      </c>
      <c r="E11" s="13">
        <f t="shared" si="0"/>
        <v>3.1984987489574643</v>
      </c>
      <c r="F11" s="1">
        <f>VLOOKUP($B$5:$B$16,'PLATE COUNT-SENBAGAM MESS'!$B$4:$F$15,3,0)</f>
        <v>37370</v>
      </c>
      <c r="G11" s="1">
        <f>VLOOKUP($B$5:$B$16,'FOOD WASTAGE-SENBAGAM MESS'!$B$4:$G$15,3,0)</f>
        <v>1162</v>
      </c>
      <c r="H11" s="13">
        <f t="shared" si="1"/>
        <v>3.1094460797431096</v>
      </c>
      <c r="I11" s="1">
        <f>VLOOKUP($B$5:$B$16,'PLATE COUNT-SENBAGAM MESS'!$B$4:$F$15,4,0)</f>
        <v>43070</v>
      </c>
      <c r="J11" s="1">
        <f>VLOOKUP($B$5:$B$16,'FOOD WASTAGE-SENBAGAM MESS'!$B$4:$G$15,4,0)</f>
        <v>0</v>
      </c>
      <c r="K11" s="1" t="str">
        <f t="shared" si="2"/>
        <v>0</v>
      </c>
      <c r="L11" s="1">
        <f>VLOOKUP($B$5:$B$16,'PLATE COUNT-SENBAGAM MESS'!$B$4:$F$15,5,0)</f>
        <v>43070</v>
      </c>
      <c r="M11" s="1">
        <f>VLOOKUP($B$5:$B$16,'FOOD WASTAGE-SENBAGAM MESS'!$B$4:$G$15,5,0)</f>
        <v>1428</v>
      </c>
      <c r="N11" s="14">
        <f t="shared" si="3"/>
        <v>3.3155328534943114</v>
      </c>
      <c r="P11" s="2" t="s">
        <v>10</v>
      </c>
      <c r="Q11" s="13">
        <f t="shared" si="4"/>
        <v>2.9709864603481626</v>
      </c>
      <c r="R11" s="13">
        <f t="shared" si="5"/>
        <v>3.4299231224127738</v>
      </c>
      <c r="S11" s="13" t="str">
        <f t="shared" si="6"/>
        <v>0</v>
      </c>
      <c r="T11" s="13">
        <f t="shared" si="7"/>
        <v>3.899918411748708</v>
      </c>
      <c r="U11" s="13">
        <f t="shared" si="8"/>
        <v>2.5752069986274111</v>
      </c>
    </row>
    <row r="12" spans="1:21" ht="18" customHeight="1" x14ac:dyDescent="0.3">
      <c r="A12" s="3">
        <v>8</v>
      </c>
      <c r="B12" s="2" t="s">
        <v>12</v>
      </c>
      <c r="C12" s="1">
        <f>VLOOKUP($B$5:$B$16,'PLATE COUNT-SENBAGAM MESS'!$B$4:$F$15,2,0)</f>
        <v>25900</v>
      </c>
      <c r="D12" s="1">
        <f>VLOOKUP($B$5:$B$16,'FOOD WASTAGE-SENBAGAM MESS'!$B$4:$G$15,2,0)</f>
        <v>656</v>
      </c>
      <c r="E12" s="13">
        <f t="shared" si="0"/>
        <v>2.5328185328185331</v>
      </c>
      <c r="F12" s="1">
        <f>VLOOKUP($B$5:$B$16,'PLATE COUNT-SENBAGAM MESS'!$B$4:$F$15,3,0)</f>
        <v>35500</v>
      </c>
      <c r="G12" s="1">
        <f>VLOOKUP($B$5:$B$16,'FOOD WASTAGE-SENBAGAM MESS'!$B$4:$G$15,3,0)</f>
        <v>1094</v>
      </c>
      <c r="H12" s="13">
        <f t="shared" si="1"/>
        <v>3.0816901408450703</v>
      </c>
      <c r="I12" s="1">
        <f>VLOOKUP($B$5:$B$16,'PLATE COUNT-SENBAGAM MESS'!$B$4:$F$15,4,0)</f>
        <v>39475</v>
      </c>
      <c r="J12" s="1">
        <f>VLOOKUP($B$5:$B$16,'FOOD WASTAGE-SENBAGAM MESS'!$B$4:$G$15,4,0)</f>
        <v>0</v>
      </c>
      <c r="K12" s="1" t="str">
        <f t="shared" si="2"/>
        <v>0</v>
      </c>
      <c r="L12" s="1">
        <f>VLOOKUP($B$5:$B$16,'PLATE COUNT-SENBAGAM MESS'!$B$4:$F$15,5,0)</f>
        <v>39475</v>
      </c>
      <c r="M12" s="1">
        <f>VLOOKUP($B$5:$B$16,'FOOD WASTAGE-SENBAGAM MESS'!$B$4:$G$15,5,0)</f>
        <v>1241</v>
      </c>
      <c r="N12" s="14">
        <f t="shared" si="3"/>
        <v>3.1437618746041798</v>
      </c>
      <c r="P12" s="2" t="s">
        <v>11</v>
      </c>
      <c r="Q12" s="13">
        <f t="shared" si="4"/>
        <v>3.1984987489574643</v>
      </c>
      <c r="R12" s="13">
        <f t="shared" si="5"/>
        <v>3.1094460797431096</v>
      </c>
      <c r="S12" s="13" t="str">
        <f t="shared" si="6"/>
        <v>0</v>
      </c>
      <c r="T12" s="13">
        <f t="shared" si="7"/>
        <v>3.3155328534943114</v>
      </c>
      <c r="U12" s="13">
        <f t="shared" si="8"/>
        <v>2.4058694205487212</v>
      </c>
    </row>
    <row r="13" spans="1:21" ht="18" customHeight="1" x14ac:dyDescent="0.3">
      <c r="A13" s="3">
        <v>9</v>
      </c>
      <c r="B13" s="2" t="s">
        <v>13</v>
      </c>
      <c r="C13" s="1">
        <f>VLOOKUP($B$5:$B$16,'PLATE COUNT-SENBAGAM MESS'!$B$4:$F$15,2,0)</f>
        <v>15635</v>
      </c>
      <c r="D13" s="1">
        <f>VLOOKUP($B$5:$B$16,'FOOD WASTAGE-SENBAGAM MESS'!$B$4:$G$15,2,0)</f>
        <v>389</v>
      </c>
      <c r="E13" s="13">
        <f t="shared" si="0"/>
        <v>2.4880076750879434</v>
      </c>
      <c r="F13" s="1">
        <f>VLOOKUP($B$5:$B$16,'PLATE COUNT-SENBAGAM MESS'!$B$4:$F$15,3,0)</f>
        <v>20235</v>
      </c>
      <c r="G13" s="1">
        <f>VLOOKUP($B$5:$B$16,'FOOD WASTAGE-SENBAGAM MESS'!$B$4:$G$15,3,0)</f>
        <v>659</v>
      </c>
      <c r="H13" s="13">
        <f t="shared" si="1"/>
        <v>3.2567333827526563</v>
      </c>
      <c r="I13" s="1">
        <f>VLOOKUP($B$5:$B$16,'PLATE COUNT-SENBAGAM MESS'!$B$4:$F$15,4,0)</f>
        <v>21520</v>
      </c>
      <c r="J13" s="1">
        <f>VLOOKUP($B$5:$B$16,'FOOD WASTAGE-SENBAGAM MESS'!$B$4:$G$15,4,0)</f>
        <v>0</v>
      </c>
      <c r="K13" s="1" t="str">
        <f t="shared" si="2"/>
        <v>0</v>
      </c>
      <c r="L13" s="1">
        <f>VLOOKUP($B$5:$B$16,'PLATE COUNT-SENBAGAM MESS'!$B$4:$F$15,5,0)</f>
        <v>21640</v>
      </c>
      <c r="M13" s="1">
        <f>VLOOKUP($B$5:$B$16,'FOOD WASTAGE-SENBAGAM MESS'!$B$4:$G$15,5,0)</f>
        <v>838</v>
      </c>
      <c r="N13" s="14">
        <f t="shared" si="3"/>
        <v>3.8724584103512019</v>
      </c>
      <c r="P13" s="2" t="s">
        <v>12</v>
      </c>
      <c r="Q13" s="13">
        <f t="shared" si="4"/>
        <v>2.5328185328185331</v>
      </c>
      <c r="R13" s="13">
        <f t="shared" si="5"/>
        <v>3.0816901408450703</v>
      </c>
      <c r="S13" s="13" t="str">
        <f t="shared" si="6"/>
        <v>0</v>
      </c>
      <c r="T13" s="13">
        <f t="shared" si="7"/>
        <v>3.1437618746041798</v>
      </c>
      <c r="U13" s="13">
        <f t="shared" si="8"/>
        <v>2.1895676370669461</v>
      </c>
    </row>
    <row r="14" spans="1:21" ht="18" customHeight="1" x14ac:dyDescent="0.3">
      <c r="A14" s="3">
        <v>10</v>
      </c>
      <c r="B14" s="2" t="s">
        <v>14</v>
      </c>
      <c r="C14" s="1">
        <f>VLOOKUP($B$5:$B$16,'PLATE COUNT-SENBAGAM MESS'!$B$4:$F$15,2,0)</f>
        <v>20310</v>
      </c>
      <c r="D14" s="1">
        <f>VLOOKUP($B$5:$B$16,'FOOD WASTAGE-SENBAGAM MESS'!$B$4:$G$15,2,0)</f>
        <v>254</v>
      </c>
      <c r="E14" s="13">
        <f t="shared" si="0"/>
        <v>1.2506154603643527</v>
      </c>
      <c r="F14" s="1">
        <f>VLOOKUP($B$5:$B$16,'PLATE COUNT-SENBAGAM MESS'!$B$4:$F$15,3,0)</f>
        <v>24910</v>
      </c>
      <c r="G14" s="1">
        <f>VLOOKUP($B$5:$B$16,'FOOD WASTAGE-SENBAGAM MESS'!$B$4:$G$15,3,0)</f>
        <v>424</v>
      </c>
      <c r="H14" s="13">
        <f t="shared" si="1"/>
        <v>1.7021276595744681</v>
      </c>
      <c r="I14" s="1">
        <f>VLOOKUP($B$5:$B$16,'PLATE COUNT-SENBAGAM MESS'!$B$4:$F$15,4,0)</f>
        <v>26700</v>
      </c>
      <c r="J14" s="1">
        <f>VLOOKUP($B$5:$B$16,'FOOD WASTAGE-SENBAGAM MESS'!$B$4:$G$15,4,0)</f>
        <v>0</v>
      </c>
      <c r="K14" s="1" t="str">
        <f t="shared" si="2"/>
        <v>0</v>
      </c>
      <c r="L14" s="1">
        <f>VLOOKUP($B$5:$B$16,'PLATE COUNT-SENBAGAM MESS'!$B$4:$F$15,5,0)</f>
        <v>27480</v>
      </c>
      <c r="M14" s="1">
        <f>VLOOKUP($B$5:$B$16,'FOOD WASTAGE-SENBAGAM MESS'!$B$4:$G$15,5,0)</f>
        <v>530</v>
      </c>
      <c r="N14" s="14">
        <f t="shared" si="3"/>
        <v>1.9286754002911208</v>
      </c>
      <c r="P14" s="2" t="s">
        <v>13</v>
      </c>
      <c r="Q14" s="13">
        <f t="shared" si="4"/>
        <v>2.4880076750879434</v>
      </c>
      <c r="R14" s="13">
        <f t="shared" si="5"/>
        <v>3.2567333827526563</v>
      </c>
      <c r="S14" s="13" t="str">
        <f t="shared" si="6"/>
        <v>0</v>
      </c>
      <c r="T14" s="13">
        <f t="shared" si="7"/>
        <v>3.8724584103512019</v>
      </c>
      <c r="U14" s="13">
        <f t="shared" si="8"/>
        <v>2.4042998670479503</v>
      </c>
    </row>
    <row r="15" spans="1:21" ht="18" customHeight="1" x14ac:dyDescent="0.3">
      <c r="A15" s="3">
        <v>11</v>
      </c>
      <c r="B15" s="2" t="s">
        <v>15</v>
      </c>
      <c r="C15" s="1">
        <f>VLOOKUP($B$5:$B$16,'PLATE COUNT-SENBAGAM MESS'!$B$4:$F$15,2,0)</f>
        <v>28741</v>
      </c>
      <c r="D15" s="1">
        <f>VLOOKUP($B$5:$B$16,'FOOD WASTAGE-SENBAGAM MESS'!$B$4:$G$15,2,0)</f>
        <v>532</v>
      </c>
      <c r="E15" s="13">
        <f t="shared" si="0"/>
        <v>1.8510142305417348</v>
      </c>
      <c r="F15" s="1">
        <f>VLOOKUP($B$5:$B$16,'PLATE COUNT-SENBAGAM MESS'!$B$4:$F$15,3,0)</f>
        <v>42120</v>
      </c>
      <c r="G15" s="1">
        <f>VLOOKUP($B$5:$B$16,'FOOD WASTAGE-SENBAGAM MESS'!$B$4:$G$15,3,0)</f>
        <v>971</v>
      </c>
      <c r="H15" s="13">
        <f t="shared" si="1"/>
        <v>2.3053181386514718</v>
      </c>
      <c r="I15" s="1">
        <f>VLOOKUP($B$5:$B$16,'PLATE COUNT-SENBAGAM MESS'!$B$4:$F$15,4,0)</f>
        <v>44180</v>
      </c>
      <c r="J15" s="1">
        <f>VLOOKUP($B$5:$B$16,'FOOD WASTAGE-SENBAGAM MESS'!$B$4:$G$15,4,0)</f>
        <v>0</v>
      </c>
      <c r="K15" s="1" t="str">
        <f t="shared" si="2"/>
        <v>0</v>
      </c>
      <c r="L15" s="1">
        <f>VLOOKUP($B$5:$B$16,'PLATE COUNT-SENBAGAM MESS'!$B$4:$F$15,5,0)</f>
        <v>44180</v>
      </c>
      <c r="M15" s="1">
        <f>VLOOKUP($B$5:$B$16,'FOOD WASTAGE-SENBAGAM MESS'!$B$4:$G$15,5,0)</f>
        <v>1156</v>
      </c>
      <c r="N15" s="14">
        <f t="shared" si="3"/>
        <v>2.6165685830692622</v>
      </c>
      <c r="P15" s="2" t="s">
        <v>14</v>
      </c>
      <c r="Q15" s="13">
        <f t="shared" si="4"/>
        <v>1.2506154603643527</v>
      </c>
      <c r="R15" s="13">
        <f t="shared" si="5"/>
        <v>1.7021276595744681</v>
      </c>
      <c r="S15" s="13" t="str">
        <f t="shared" si="6"/>
        <v>0</v>
      </c>
      <c r="T15" s="13">
        <f t="shared" si="7"/>
        <v>1.9286754002911208</v>
      </c>
      <c r="U15" s="13">
        <f t="shared" si="8"/>
        <v>1.2203546300574852</v>
      </c>
    </row>
    <row r="16" spans="1:21" ht="18" customHeight="1" x14ac:dyDescent="0.3">
      <c r="A16" s="3">
        <v>12</v>
      </c>
      <c r="B16" s="2" t="s">
        <v>27</v>
      </c>
      <c r="C16" s="1">
        <f>VLOOKUP($B$5:$B$16,'PLATE COUNT-SENBAGAM MESS'!$B$4:$F$15,2,0)</f>
        <v>28770</v>
      </c>
      <c r="D16" s="1">
        <f>VLOOKUP($B$5:$B$16,'FOOD WASTAGE-SENBAGAM MESS'!$B$4:$G$15,2,0)</f>
        <v>596</v>
      </c>
      <c r="E16" s="13">
        <f t="shared" si="0"/>
        <v>2.0716023635731666</v>
      </c>
      <c r="F16" s="1">
        <f>VLOOKUP($B$5:$B$16,'PLATE COUNT-SENBAGAM MESS'!$B$4:$F$15,3,0)</f>
        <v>45250</v>
      </c>
      <c r="G16" s="1">
        <f>VLOOKUP($B$5:$B$16,'FOOD WASTAGE-SENBAGAM MESS'!$B$4:$G$15,3,0)</f>
        <v>1096</v>
      </c>
      <c r="H16" s="13">
        <f t="shared" si="1"/>
        <v>2.4220994475138125</v>
      </c>
      <c r="I16" s="1">
        <f>VLOOKUP($B$5:$B$16,'PLATE COUNT-SENBAGAM MESS'!$B$4:$F$15,4,0)</f>
        <v>46430</v>
      </c>
      <c r="J16" s="1">
        <f>VLOOKUP($B$5:$B$16,'FOOD WASTAGE-SENBAGAM MESS'!$B$4:$G$15,4,0)</f>
        <v>0</v>
      </c>
      <c r="K16" s="1" t="str">
        <f t="shared" si="2"/>
        <v>0</v>
      </c>
      <c r="L16" s="1">
        <f>VLOOKUP($B$5:$B$16,'PLATE COUNT-SENBAGAM MESS'!$B$4:$F$15,5,0)</f>
        <v>46430</v>
      </c>
      <c r="M16" s="1">
        <f>VLOOKUP($B$5:$B$16,'FOOD WASTAGE-SENBAGAM MESS'!$B$4:$G$15,5,0)</f>
        <v>1246</v>
      </c>
      <c r="N16" s="14">
        <f t="shared" si="3"/>
        <v>2.6836097350850743</v>
      </c>
      <c r="P16" s="2" t="s">
        <v>15</v>
      </c>
      <c r="Q16" s="13">
        <f t="shared" si="4"/>
        <v>1.8510142305417348</v>
      </c>
      <c r="R16" s="13">
        <f t="shared" si="5"/>
        <v>2.3053181386514718</v>
      </c>
      <c r="S16" s="13" t="str">
        <f t="shared" si="6"/>
        <v>0</v>
      </c>
      <c r="T16" s="13">
        <f t="shared" si="7"/>
        <v>2.6165685830692622</v>
      </c>
      <c r="U16" s="13">
        <f t="shared" si="8"/>
        <v>1.6932252380656172</v>
      </c>
    </row>
    <row r="17" spans="1:21" ht="18" customHeight="1" thickBot="1" x14ac:dyDescent="0.35">
      <c r="A17" s="12"/>
      <c r="B17" s="8" t="s">
        <v>16</v>
      </c>
      <c r="C17" s="15">
        <f>SUBTOTAL(9,C4:C16)</f>
        <v>263887</v>
      </c>
      <c r="D17" s="15">
        <f t="shared" ref="D17:N17" si="9">SUBTOTAL(9,D4:D16)</f>
        <v>8364</v>
      </c>
      <c r="E17" s="15">
        <f t="shared" si="9"/>
        <v>40.80931400115945</v>
      </c>
      <c r="F17" s="15">
        <f t="shared" si="9"/>
        <v>350240</v>
      </c>
      <c r="G17" s="15">
        <f t="shared" si="9"/>
        <v>13231</v>
      </c>
      <c r="H17" s="15">
        <f t="shared" si="9"/>
        <v>51.375275525856978</v>
      </c>
      <c r="I17" s="15">
        <f t="shared" si="9"/>
        <v>378343</v>
      </c>
      <c r="J17" s="15">
        <f t="shared" si="9"/>
        <v>0</v>
      </c>
      <c r="K17" s="15">
        <f t="shared" si="9"/>
        <v>0</v>
      </c>
      <c r="L17" s="15">
        <f t="shared" si="9"/>
        <v>378718</v>
      </c>
      <c r="M17" s="15">
        <f t="shared" si="9"/>
        <v>15336</v>
      </c>
      <c r="N17" s="15">
        <f t="shared" si="9"/>
        <v>54.831858444964851</v>
      </c>
      <c r="P17" s="2" t="s">
        <v>27</v>
      </c>
      <c r="Q17" s="13">
        <f t="shared" si="4"/>
        <v>2.0716023635731666</v>
      </c>
      <c r="R17" s="13">
        <f t="shared" si="5"/>
        <v>2.4220994475138125</v>
      </c>
      <c r="S17" s="13" t="str">
        <f t="shared" si="6"/>
        <v>0</v>
      </c>
      <c r="T17" s="13">
        <f t="shared" si="7"/>
        <v>2.6836097350850743</v>
      </c>
      <c r="U17" s="13">
        <f t="shared" si="8"/>
        <v>1.7943278865430132</v>
      </c>
    </row>
    <row r="18" spans="1:21" ht="33" customHeight="1" x14ac:dyDescent="0.3">
      <c r="P18" s="72" t="s">
        <v>82</v>
      </c>
      <c r="Q18" s="72"/>
      <c r="R18" s="72"/>
      <c r="S18" s="72"/>
      <c r="T18" s="72"/>
      <c r="U18" s="71">
        <f>SUM(U6:U17)/(12)</f>
        <v>3.0628426660829438</v>
      </c>
    </row>
    <row r="19" spans="1:21" ht="26.25" customHeight="1" x14ac:dyDescent="0.3"/>
  </sheetData>
  <mergeCells count="5">
    <mergeCell ref="P18:T18"/>
    <mergeCell ref="A1:N1"/>
    <mergeCell ref="A2:N2"/>
    <mergeCell ref="P3:U3"/>
    <mergeCell ref="P4:U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67</v>
      </c>
      <c r="B1" s="49"/>
      <c r="C1" s="49"/>
      <c r="D1" s="49"/>
      <c r="E1" s="49"/>
      <c r="F1" s="49"/>
      <c r="G1" s="50"/>
    </row>
    <row r="2" spans="1:7" x14ac:dyDescent="0.3">
      <c r="A2" s="7" t="s">
        <v>31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892</v>
      </c>
      <c r="D4" s="1">
        <v>2577</v>
      </c>
      <c r="E4" s="1">
        <v>0</v>
      </c>
      <c r="F4" s="1">
        <v>2661</v>
      </c>
      <c r="G4" s="4">
        <f>SUM(C4:F4)</f>
        <v>6130</v>
      </c>
    </row>
    <row r="5" spans="1:7" x14ac:dyDescent="0.3">
      <c r="A5" s="3">
        <v>2</v>
      </c>
      <c r="B5" s="2" t="s">
        <v>6</v>
      </c>
      <c r="C5" s="1">
        <v>968</v>
      </c>
      <c r="D5" s="1">
        <v>2616</v>
      </c>
      <c r="E5" s="1">
        <v>0</v>
      </c>
      <c r="F5" s="1">
        <v>2750</v>
      </c>
      <c r="G5" s="4">
        <f t="shared" ref="G5:G15" si="0">SUM(C5:F5)</f>
        <v>6334</v>
      </c>
    </row>
    <row r="6" spans="1:7" x14ac:dyDescent="0.3">
      <c r="A6" s="3">
        <v>3</v>
      </c>
      <c r="B6" s="2" t="s">
        <v>7</v>
      </c>
      <c r="C6" s="1">
        <v>25</v>
      </c>
      <c r="D6" s="1">
        <v>71</v>
      </c>
      <c r="E6" s="1">
        <v>0</v>
      </c>
      <c r="F6" s="1">
        <v>0</v>
      </c>
      <c r="G6" s="4">
        <f t="shared" si="0"/>
        <v>96</v>
      </c>
    </row>
    <row r="7" spans="1:7" x14ac:dyDescent="0.3">
      <c r="A7" s="3">
        <v>4</v>
      </c>
      <c r="B7" s="2" t="s">
        <v>8</v>
      </c>
      <c r="C7" s="1">
        <v>346</v>
      </c>
      <c r="D7" s="1">
        <v>1914</v>
      </c>
      <c r="E7" s="1">
        <v>0</v>
      </c>
      <c r="F7" s="1">
        <v>1990</v>
      </c>
      <c r="G7" s="4">
        <f t="shared" si="0"/>
        <v>4250</v>
      </c>
    </row>
    <row r="8" spans="1:7" x14ac:dyDescent="0.3">
      <c r="A8" s="3">
        <v>5</v>
      </c>
      <c r="B8" s="2" t="s">
        <v>9</v>
      </c>
      <c r="C8" s="1">
        <v>959</v>
      </c>
      <c r="D8" s="1">
        <v>1420</v>
      </c>
      <c r="E8" s="1">
        <v>0</v>
      </c>
      <c r="F8" s="1">
        <v>1552</v>
      </c>
      <c r="G8" s="4">
        <f t="shared" si="0"/>
        <v>3931</v>
      </c>
    </row>
    <row r="9" spans="1:7" x14ac:dyDescent="0.3">
      <c r="A9" s="3">
        <v>6</v>
      </c>
      <c r="B9" s="2" t="s">
        <v>10</v>
      </c>
      <c r="C9" s="1">
        <v>948</v>
      </c>
      <c r="D9" s="1">
        <v>1210</v>
      </c>
      <c r="E9" s="1">
        <v>0</v>
      </c>
      <c r="F9" s="1">
        <v>1390</v>
      </c>
      <c r="G9" s="4">
        <f t="shared" si="0"/>
        <v>3548</v>
      </c>
    </row>
    <row r="10" spans="1:7" x14ac:dyDescent="0.3">
      <c r="A10" s="3">
        <v>7</v>
      </c>
      <c r="B10" s="2" t="s">
        <v>11</v>
      </c>
      <c r="C10" s="1">
        <v>694</v>
      </c>
      <c r="D10" s="1">
        <v>882</v>
      </c>
      <c r="E10" s="1">
        <v>0</v>
      </c>
      <c r="F10" s="1">
        <v>985</v>
      </c>
      <c r="G10" s="4">
        <f t="shared" si="0"/>
        <v>2561</v>
      </c>
    </row>
    <row r="11" spans="1:7" x14ac:dyDescent="0.3">
      <c r="A11" s="3">
        <v>8</v>
      </c>
      <c r="B11" s="2" t="s">
        <v>12</v>
      </c>
      <c r="C11" s="1">
        <v>734</v>
      </c>
      <c r="D11" s="1">
        <v>889</v>
      </c>
      <c r="E11" s="1">
        <v>0</v>
      </c>
      <c r="F11" s="1">
        <v>1052</v>
      </c>
      <c r="G11" s="4">
        <f t="shared" si="0"/>
        <v>2675</v>
      </c>
    </row>
    <row r="12" spans="1:7" x14ac:dyDescent="0.3">
      <c r="A12" s="3">
        <v>9</v>
      </c>
      <c r="B12" s="2" t="s">
        <v>13</v>
      </c>
      <c r="C12" s="1">
        <v>237</v>
      </c>
      <c r="D12" s="1">
        <v>306</v>
      </c>
      <c r="E12" s="1">
        <v>0</v>
      </c>
      <c r="F12" s="1">
        <v>436</v>
      </c>
      <c r="G12" s="4">
        <f t="shared" si="0"/>
        <v>979</v>
      </c>
    </row>
    <row r="13" spans="1:7" x14ac:dyDescent="0.3">
      <c r="A13" s="3">
        <v>10</v>
      </c>
      <c r="B13" s="2" t="s">
        <v>14</v>
      </c>
      <c r="C13" s="1">
        <v>121</v>
      </c>
      <c r="D13" s="1">
        <v>160</v>
      </c>
      <c r="E13" s="1">
        <v>0</v>
      </c>
      <c r="F13" s="1">
        <v>165</v>
      </c>
      <c r="G13" s="4">
        <f t="shared" si="0"/>
        <v>446</v>
      </c>
    </row>
    <row r="14" spans="1:7" x14ac:dyDescent="0.3">
      <c r="A14" s="3">
        <v>11</v>
      </c>
      <c r="B14" s="2" t="s">
        <v>15</v>
      </c>
      <c r="C14" s="1">
        <v>781</v>
      </c>
      <c r="D14" s="1">
        <v>890</v>
      </c>
      <c r="E14" s="1">
        <v>0</v>
      </c>
      <c r="F14" s="1">
        <v>1009</v>
      </c>
      <c r="G14" s="4">
        <f t="shared" si="0"/>
        <v>2680</v>
      </c>
    </row>
    <row r="15" spans="1:7" x14ac:dyDescent="0.3">
      <c r="A15" s="3">
        <v>12</v>
      </c>
      <c r="B15" s="2" t="s">
        <v>27</v>
      </c>
      <c r="C15" s="1">
        <v>898</v>
      </c>
      <c r="D15" s="1">
        <v>1066</v>
      </c>
      <c r="E15" s="1">
        <v>0</v>
      </c>
      <c r="F15" s="1">
        <v>1231</v>
      </c>
      <c r="G15" s="4">
        <f t="shared" si="0"/>
        <v>3195</v>
      </c>
    </row>
    <row r="16" spans="1:7" x14ac:dyDescent="0.3">
      <c r="A16" s="5"/>
      <c r="B16" s="8" t="s">
        <v>16</v>
      </c>
      <c r="C16" s="9">
        <f>SUBTOTAL(9,C4:C15)</f>
        <v>7603</v>
      </c>
      <c r="D16" s="9">
        <f t="shared" ref="D16:G16" si="1">SUBTOTAL(9,D4:D15)</f>
        <v>14001</v>
      </c>
      <c r="E16" s="9">
        <f t="shared" si="1"/>
        <v>0</v>
      </c>
      <c r="F16" s="9">
        <f t="shared" si="1"/>
        <v>15221</v>
      </c>
      <c r="G16" s="10">
        <f t="shared" si="1"/>
        <v>36825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tabSelected="1"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50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24014</v>
      </c>
      <c r="D4" s="1">
        <v>30024</v>
      </c>
      <c r="E4" s="1">
        <v>30414</v>
      </c>
      <c r="F4" s="1">
        <v>30515</v>
      </c>
      <c r="G4" s="1">
        <f>SUM(C4:F4)</f>
        <v>114967</v>
      </c>
    </row>
    <row r="5" spans="1:7" x14ac:dyDescent="0.3">
      <c r="A5" s="1">
        <v>2</v>
      </c>
      <c r="B5" s="2" t="s">
        <v>6</v>
      </c>
      <c r="C5" s="1">
        <v>24933</v>
      </c>
      <c r="D5" s="1">
        <v>29981</v>
      </c>
      <c r="E5" s="1">
        <v>32475</v>
      </c>
      <c r="F5" s="1">
        <v>32457</v>
      </c>
      <c r="G5" s="1">
        <f t="shared" ref="G5:G15" si="0">SUM(C5:F5)</f>
        <v>119846</v>
      </c>
    </row>
    <row r="6" spans="1:7" x14ac:dyDescent="0.3">
      <c r="A6" s="1">
        <v>3</v>
      </c>
      <c r="B6" s="2" t="s">
        <v>7</v>
      </c>
      <c r="C6" s="1">
        <v>689</v>
      </c>
      <c r="D6" s="1">
        <v>767</v>
      </c>
      <c r="E6" s="1">
        <v>0</v>
      </c>
      <c r="F6" s="1">
        <v>0</v>
      </c>
      <c r="G6" s="1">
        <f t="shared" si="0"/>
        <v>1456</v>
      </c>
    </row>
    <row r="7" spans="1:7" x14ac:dyDescent="0.3">
      <c r="A7" s="1">
        <v>4</v>
      </c>
      <c r="B7" s="2" t="s">
        <v>8</v>
      </c>
      <c r="C7" s="1">
        <v>13142</v>
      </c>
      <c r="D7" s="1">
        <v>23067</v>
      </c>
      <c r="E7" s="1">
        <v>24442</v>
      </c>
      <c r="F7" s="1">
        <v>24442</v>
      </c>
      <c r="G7" s="1">
        <f t="shared" si="0"/>
        <v>85093</v>
      </c>
    </row>
    <row r="8" spans="1:7" x14ac:dyDescent="0.3">
      <c r="A8" s="1">
        <v>5</v>
      </c>
      <c r="B8" s="2" t="s">
        <v>9</v>
      </c>
      <c r="C8" s="1">
        <v>27526</v>
      </c>
      <c r="D8" s="1">
        <v>43960</v>
      </c>
      <c r="E8" s="1">
        <v>45974</v>
      </c>
      <c r="F8" s="1">
        <v>45974</v>
      </c>
      <c r="G8" s="1">
        <f t="shared" si="0"/>
        <v>163434</v>
      </c>
    </row>
    <row r="9" spans="1:7" x14ac:dyDescent="0.3">
      <c r="A9" s="1">
        <v>6</v>
      </c>
      <c r="B9" s="2" t="s">
        <v>10</v>
      </c>
      <c r="C9" s="1">
        <v>26195</v>
      </c>
      <c r="D9" s="1">
        <v>41511</v>
      </c>
      <c r="E9" s="1">
        <v>46272</v>
      </c>
      <c r="F9" s="1">
        <v>46272</v>
      </c>
      <c r="G9" s="1">
        <f t="shared" si="0"/>
        <v>160250</v>
      </c>
    </row>
    <row r="10" spans="1:7" x14ac:dyDescent="0.3">
      <c r="A10" s="1">
        <v>7</v>
      </c>
      <c r="B10" s="2" t="s">
        <v>11</v>
      </c>
      <c r="C10" s="1">
        <v>26369</v>
      </c>
      <c r="D10" s="1">
        <v>43172</v>
      </c>
      <c r="E10" s="1">
        <v>45651</v>
      </c>
      <c r="F10" s="1">
        <v>45652</v>
      </c>
      <c r="G10" s="1">
        <f t="shared" si="0"/>
        <v>160844</v>
      </c>
    </row>
    <row r="11" spans="1:7" x14ac:dyDescent="0.3">
      <c r="A11" s="1">
        <v>8</v>
      </c>
      <c r="B11" s="2" t="s">
        <v>12</v>
      </c>
      <c r="C11" s="1">
        <v>27719</v>
      </c>
      <c r="D11" s="1">
        <v>40837</v>
      </c>
      <c r="E11" s="1">
        <v>46388</v>
      </c>
      <c r="F11" s="1">
        <v>46388</v>
      </c>
      <c r="G11" s="1">
        <f t="shared" si="0"/>
        <v>161332</v>
      </c>
    </row>
    <row r="12" spans="1:7" x14ac:dyDescent="0.3">
      <c r="A12" s="1">
        <v>9</v>
      </c>
      <c r="B12" s="2" t="s">
        <v>13</v>
      </c>
      <c r="C12" s="1">
        <v>8377</v>
      </c>
      <c r="D12" s="1">
        <v>9939</v>
      </c>
      <c r="E12" s="1">
        <v>9655</v>
      </c>
      <c r="F12" s="1">
        <v>9655</v>
      </c>
      <c r="G12" s="1">
        <f t="shared" si="0"/>
        <v>37626</v>
      </c>
    </row>
    <row r="13" spans="1:7" x14ac:dyDescent="0.3">
      <c r="A13" s="1">
        <v>10</v>
      </c>
      <c r="B13" s="2" t="s">
        <v>14</v>
      </c>
      <c r="C13" s="1">
        <v>8000</v>
      </c>
      <c r="D13" s="1">
        <v>12378</v>
      </c>
      <c r="E13" s="1">
        <v>12944</v>
      </c>
      <c r="F13" s="1">
        <v>13894</v>
      </c>
      <c r="G13" s="1">
        <f t="shared" si="0"/>
        <v>47216</v>
      </c>
    </row>
    <row r="14" spans="1:7" x14ac:dyDescent="0.3">
      <c r="A14" s="1">
        <v>11</v>
      </c>
      <c r="B14" s="2" t="s">
        <v>15</v>
      </c>
      <c r="C14" s="1">
        <v>27498</v>
      </c>
      <c r="D14" s="1">
        <v>47297</v>
      </c>
      <c r="E14" s="1">
        <v>54188</v>
      </c>
      <c r="F14" s="1">
        <v>54188</v>
      </c>
      <c r="G14" s="1">
        <f t="shared" si="0"/>
        <v>183171</v>
      </c>
    </row>
    <row r="15" spans="1:7" x14ac:dyDescent="0.3">
      <c r="A15" s="1">
        <v>12</v>
      </c>
      <c r="B15" s="2" t="s">
        <v>27</v>
      </c>
      <c r="C15" s="1">
        <v>27497</v>
      </c>
      <c r="D15" s="1">
        <v>48611</v>
      </c>
      <c r="E15" s="1">
        <v>55935</v>
      </c>
      <c r="F15" s="1">
        <v>55805</v>
      </c>
      <c r="G15" s="1">
        <f t="shared" si="0"/>
        <v>187848</v>
      </c>
    </row>
    <row r="16" spans="1:7" x14ac:dyDescent="0.3">
      <c r="A16" s="2"/>
      <c r="B16" s="19" t="s">
        <v>16</v>
      </c>
      <c r="C16" s="19">
        <f>SUBTOTAL(9,C4:C15)</f>
        <v>241959</v>
      </c>
      <c r="D16" s="19">
        <f t="shared" ref="D16:G16" si="1">SUBTOTAL(9,D4:D15)</f>
        <v>371544</v>
      </c>
      <c r="E16" s="19">
        <f t="shared" si="1"/>
        <v>404338</v>
      </c>
      <c r="F16" s="19">
        <f t="shared" si="1"/>
        <v>405242</v>
      </c>
      <c r="G16" s="19">
        <f t="shared" si="1"/>
        <v>1423083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x14ac:dyDescent="0.3">
      <c r="A3" s="7" t="s">
        <v>35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P3" s="19" t="s">
        <v>17</v>
      </c>
      <c r="Q3" s="19"/>
      <c r="R3" s="19"/>
      <c r="S3" s="19"/>
      <c r="T3" s="19"/>
      <c r="U3" s="19"/>
    </row>
    <row r="4" spans="1:21" ht="72" x14ac:dyDescent="0.3">
      <c r="A4" s="51" t="s">
        <v>60</v>
      </c>
      <c r="B4" s="52"/>
      <c r="C4" s="19" t="s">
        <v>36</v>
      </c>
      <c r="D4" s="17" t="s">
        <v>37</v>
      </c>
      <c r="E4" s="17" t="s">
        <v>39</v>
      </c>
      <c r="F4" s="17" t="s">
        <v>36</v>
      </c>
      <c r="G4" s="17" t="s">
        <v>37</v>
      </c>
      <c r="H4" s="17" t="s">
        <v>39</v>
      </c>
      <c r="I4" s="19" t="s">
        <v>36</v>
      </c>
      <c r="J4" s="17" t="s">
        <v>37</v>
      </c>
      <c r="K4" s="17" t="s">
        <v>39</v>
      </c>
      <c r="L4" s="19" t="s">
        <v>36</v>
      </c>
      <c r="M4" s="17" t="s">
        <v>37</v>
      </c>
      <c r="N4" s="21" t="s">
        <v>39</v>
      </c>
      <c r="P4" s="19" t="s">
        <v>62</v>
      </c>
      <c r="Q4" s="19"/>
      <c r="R4" s="19"/>
      <c r="S4" s="19"/>
      <c r="T4" s="19"/>
      <c r="U4" s="19"/>
    </row>
    <row r="5" spans="1:21" ht="57.6" x14ac:dyDescent="0.3">
      <c r="A5" s="7" t="s">
        <v>4</v>
      </c>
      <c r="B5" s="19" t="s">
        <v>0</v>
      </c>
      <c r="C5" s="19" t="s">
        <v>25</v>
      </c>
      <c r="D5" s="19" t="s">
        <v>25</v>
      </c>
      <c r="E5" s="19" t="s">
        <v>25</v>
      </c>
      <c r="F5" s="19" t="s">
        <v>1</v>
      </c>
      <c r="G5" s="19" t="s">
        <v>1</v>
      </c>
      <c r="H5" s="19" t="s">
        <v>1</v>
      </c>
      <c r="I5" s="6" t="s">
        <v>68</v>
      </c>
      <c r="J5" s="6" t="s">
        <v>68</v>
      </c>
      <c r="K5" s="6" t="s">
        <v>68</v>
      </c>
      <c r="L5" s="19" t="s">
        <v>3</v>
      </c>
      <c r="M5" s="19" t="s">
        <v>3</v>
      </c>
      <c r="N5" s="22" t="s">
        <v>3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1</v>
      </c>
      <c r="B6" s="2" t="s">
        <v>5</v>
      </c>
      <c r="C6" s="1">
        <f>VLOOKUP($B$6:$B$17,'PLATE COUNT-J MESS'!$B$4:$F$15,2,0)</f>
        <v>24014</v>
      </c>
      <c r="D6" s="1">
        <f>VLOOKUP($B$6:$B$17,'FOOD WASTAGE-J-MESS'!$B$4:$F$15,2,0)</f>
        <v>892</v>
      </c>
      <c r="E6" s="13">
        <f>IFERROR(SUM(D6/C6*100),"0")</f>
        <v>3.7144998750728742</v>
      </c>
      <c r="F6" s="1">
        <f>VLOOKUP($B$6:$B$17,'PLATE COUNT-J MESS'!$B$4:$F$15,3,0)</f>
        <v>30024</v>
      </c>
      <c r="G6" s="1">
        <f>VLOOKUP($B$6:$B$17,'FOOD WASTAGE-J-MESS'!$B$4:$F$15,3,0)</f>
        <v>2577</v>
      </c>
      <c r="H6" s="13">
        <f>IFERROR(SUM(G6/F6*100),"0")</f>
        <v>8.5831334932054357</v>
      </c>
      <c r="I6" s="1">
        <f>VLOOKUP($B$6:$B$17,'PLATE COUNT-J MESS'!$B$4:$F$15,4,0)</f>
        <v>30414</v>
      </c>
      <c r="J6" s="1">
        <f>VLOOKUP($B$6:$B$17,'FOOD WASTAGE-J-MESS'!$B$4:$F$15,4,0)</f>
        <v>0</v>
      </c>
      <c r="K6" s="1" t="str">
        <f>IFERROR(SUM(I6/J6),"0")</f>
        <v>0</v>
      </c>
      <c r="L6" s="1">
        <f>VLOOKUP($B$6:$B$17,'PLATE COUNT-J MESS'!$B$4:$F$15,5,0)</f>
        <v>30515</v>
      </c>
      <c r="M6" s="1">
        <f>VLOOKUP($B$6:$B$17,'FOOD WASTAGE-J-MESS'!$B$4:$F$15,5,0)</f>
        <v>2661</v>
      </c>
      <c r="N6" s="14">
        <f>IFERROR(SUM(M6/L6*100),"0")</f>
        <v>8.7203014910699643</v>
      </c>
      <c r="P6" s="2" t="s">
        <v>5</v>
      </c>
      <c r="Q6" s="13">
        <f>VLOOKUP($P$6:$P$17,$B$5:$N$17,4,0)</f>
        <v>3.7144998750728742</v>
      </c>
      <c r="R6" s="13">
        <f>VLOOKUP($P$6:$P$17,$B$5:$N$17,7,0)</f>
        <v>8.5831334932054357</v>
      </c>
      <c r="S6" s="13" t="str">
        <f>VLOOKUP($P$6:$P$17,$B$5:$N$17,10,0)</f>
        <v>0</v>
      </c>
      <c r="T6" s="13">
        <f>VLOOKUP($P$6:$P$17,$B$5:$N$17,13,0)</f>
        <v>8.7203014910699643</v>
      </c>
      <c r="U6" s="13">
        <f>SUM(Q6:T6)/4</f>
        <v>5.2544837148370682</v>
      </c>
    </row>
    <row r="7" spans="1:21" x14ac:dyDescent="0.3">
      <c r="A7" s="3">
        <v>2</v>
      </c>
      <c r="B7" s="2" t="s">
        <v>6</v>
      </c>
      <c r="C7" s="1">
        <f>VLOOKUP($B$6:$B$17,'PLATE COUNT-J MESS'!$B$4:$F$15,2,0)</f>
        <v>24933</v>
      </c>
      <c r="D7" s="1">
        <f>VLOOKUP($B$6:$B$17,'FOOD WASTAGE-J-MESS'!$B$4:$F$15,2,0)</f>
        <v>968</v>
      </c>
      <c r="E7" s="13">
        <f t="shared" ref="E7:E17" si="0">IFERROR(SUM(D7/C7*100),"0")</f>
        <v>3.8824048449845585</v>
      </c>
      <c r="F7" s="1">
        <f>VLOOKUP($B$6:$B$17,'PLATE COUNT-J MESS'!$B$4:$F$15,3,0)</f>
        <v>29981</v>
      </c>
      <c r="G7" s="1">
        <f>VLOOKUP($B$6:$B$17,'FOOD WASTAGE-J-MESS'!$B$4:$F$15,3,0)</f>
        <v>2616</v>
      </c>
      <c r="H7" s="13">
        <f t="shared" ref="H7:H17" si="1">IFERROR(SUM(G7/F7*100),"0")</f>
        <v>8.7255261665721626</v>
      </c>
      <c r="I7" s="1">
        <f>VLOOKUP($B$6:$B$17,'PLATE COUNT-J MESS'!$B$4:$F$15,4,0)</f>
        <v>32475</v>
      </c>
      <c r="J7" s="1">
        <f>VLOOKUP($B$6:$B$17,'FOOD WASTAGE-J-MESS'!$B$4:$F$15,4,0)</f>
        <v>0</v>
      </c>
      <c r="K7" s="1" t="str">
        <f t="shared" ref="K7:K17" si="2">IFERROR(SUM(I7/J7),"0")</f>
        <v>0</v>
      </c>
      <c r="L7" s="1">
        <f>VLOOKUP($B$6:$B$17,'PLATE COUNT-J MESS'!$B$4:$F$15,5,0)</f>
        <v>32457</v>
      </c>
      <c r="M7" s="1">
        <f>VLOOKUP($B$6:$B$17,'FOOD WASTAGE-J-MESS'!$B$4:$F$15,5,0)</f>
        <v>2750</v>
      </c>
      <c r="N7" s="14">
        <f t="shared" ref="N7:N17" si="3">IFERROR(SUM(M7/L7*100),"0")</f>
        <v>8.4727485596327448</v>
      </c>
      <c r="P7" s="2" t="s">
        <v>6</v>
      </c>
      <c r="Q7" s="13">
        <f t="shared" ref="Q7:Q17" si="4">VLOOKUP($P$6:$P$17,$B$5:$N$17,4,0)</f>
        <v>3.8824048449845585</v>
      </c>
      <c r="R7" s="13">
        <f t="shared" ref="R7:R17" si="5">VLOOKUP($P$6:$P$17,$B$5:$N$17,7,0)</f>
        <v>8.7255261665721626</v>
      </c>
      <c r="S7" s="13" t="str">
        <f t="shared" ref="S7:S17" si="6">VLOOKUP($P$6:$P$17,$B$5:$N$17,10,0)</f>
        <v>0</v>
      </c>
      <c r="T7" s="13">
        <f t="shared" ref="T7:T17" si="7">VLOOKUP($P$6:$P$17,$B$5:$N$17,13,0)</f>
        <v>8.4727485596327448</v>
      </c>
      <c r="U7" s="13">
        <f t="shared" ref="U7:U17" si="8">SUM(Q7:T7)/4</f>
        <v>5.2701698927973659</v>
      </c>
    </row>
    <row r="8" spans="1:21" x14ac:dyDescent="0.3">
      <c r="A8" s="3">
        <v>3</v>
      </c>
      <c r="B8" s="2" t="s">
        <v>7</v>
      </c>
      <c r="C8" s="1">
        <f>VLOOKUP($B$6:$B$17,'PLATE COUNT-J MESS'!$B$4:$F$15,2,0)</f>
        <v>689</v>
      </c>
      <c r="D8" s="1">
        <f>VLOOKUP($B$6:$B$17,'FOOD WASTAGE-J-MESS'!$B$4:$F$15,2,0)</f>
        <v>25</v>
      </c>
      <c r="E8" s="13">
        <f t="shared" si="0"/>
        <v>3.6284470246734397</v>
      </c>
      <c r="F8" s="1">
        <f>VLOOKUP($B$6:$B$17,'PLATE COUNT-J MESS'!$B$4:$F$15,3,0)</f>
        <v>767</v>
      </c>
      <c r="G8" s="1">
        <f>VLOOKUP($B$6:$B$17,'FOOD WASTAGE-J-MESS'!$B$4:$F$15,3,0)</f>
        <v>71</v>
      </c>
      <c r="H8" s="13">
        <f t="shared" si="1"/>
        <v>9.256844850065189</v>
      </c>
      <c r="I8" s="1">
        <f>VLOOKUP($B$6:$B$17,'PLATE COUNT-J MESS'!$B$4:$F$15,4,0)</f>
        <v>0</v>
      </c>
      <c r="J8" s="1">
        <f>VLOOKUP($B$6:$B$17,'FOOD WASTAGE-J-MESS'!$B$4:$F$15,4,0)</f>
        <v>0</v>
      </c>
      <c r="K8" s="1" t="str">
        <f t="shared" si="2"/>
        <v>0</v>
      </c>
      <c r="L8" s="1">
        <f>VLOOKUP($B$6:$B$17,'PLATE COUNT-J MESS'!$B$4:$F$15,5,0)</f>
        <v>0</v>
      </c>
      <c r="M8" s="1">
        <f>VLOOKUP($B$6:$B$17,'FOOD WASTAGE-J-MESS'!$B$4:$F$15,5,0)</f>
        <v>0</v>
      </c>
      <c r="N8" s="14" t="str">
        <f t="shared" si="3"/>
        <v>0</v>
      </c>
      <c r="P8" s="2" t="s">
        <v>7</v>
      </c>
      <c r="Q8" s="13">
        <f t="shared" si="4"/>
        <v>3.6284470246734397</v>
      </c>
      <c r="R8" s="13">
        <f t="shared" si="5"/>
        <v>9.256844850065189</v>
      </c>
      <c r="S8" s="13" t="str">
        <f t="shared" si="6"/>
        <v>0</v>
      </c>
      <c r="T8" s="13" t="str">
        <f t="shared" si="7"/>
        <v>0</v>
      </c>
      <c r="U8" s="13">
        <f t="shared" si="8"/>
        <v>3.2213229686846572</v>
      </c>
    </row>
    <row r="9" spans="1:21" x14ac:dyDescent="0.3">
      <c r="A9" s="3">
        <v>4</v>
      </c>
      <c r="B9" s="2" t="s">
        <v>8</v>
      </c>
      <c r="C9" s="1">
        <f>VLOOKUP($B$6:$B$17,'PLATE COUNT-J MESS'!$B$4:$F$15,2,0)</f>
        <v>13142</v>
      </c>
      <c r="D9" s="1">
        <f>VLOOKUP($B$6:$B$17,'FOOD WASTAGE-J-MESS'!$B$4:$F$15,2,0)</f>
        <v>346</v>
      </c>
      <c r="E9" s="13">
        <f t="shared" si="0"/>
        <v>2.632780398721656</v>
      </c>
      <c r="F9" s="1">
        <f>VLOOKUP($B$6:$B$17,'PLATE COUNT-J MESS'!$B$4:$F$15,3,0)</f>
        <v>23067</v>
      </c>
      <c r="G9" s="1">
        <f>VLOOKUP($B$6:$B$17,'FOOD WASTAGE-J-MESS'!$B$4:$F$15,3,0)</f>
        <v>1914</v>
      </c>
      <c r="H9" s="13">
        <f t="shared" si="1"/>
        <v>8.297567954220316</v>
      </c>
      <c r="I9" s="1">
        <f>VLOOKUP($B$6:$B$17,'PLATE COUNT-J MESS'!$B$4:$F$15,4,0)</f>
        <v>24442</v>
      </c>
      <c r="J9" s="1">
        <f>VLOOKUP($B$6:$B$17,'FOOD WASTAGE-J-MESS'!$B$4:$F$15,4,0)</f>
        <v>0</v>
      </c>
      <c r="K9" s="1" t="str">
        <f t="shared" si="2"/>
        <v>0</v>
      </c>
      <c r="L9" s="1">
        <f>VLOOKUP($B$6:$B$17,'PLATE COUNT-J MESS'!$B$4:$F$15,5,0)</f>
        <v>24442</v>
      </c>
      <c r="M9" s="1">
        <f>VLOOKUP($B$6:$B$17,'FOOD WASTAGE-J-MESS'!$B$4:$F$15,5,0)</f>
        <v>1990</v>
      </c>
      <c r="N9" s="14">
        <f t="shared" si="3"/>
        <v>8.1417232632354146</v>
      </c>
      <c r="P9" s="2" t="s">
        <v>8</v>
      </c>
      <c r="Q9" s="13">
        <f t="shared" si="4"/>
        <v>2.632780398721656</v>
      </c>
      <c r="R9" s="13">
        <f t="shared" si="5"/>
        <v>8.297567954220316</v>
      </c>
      <c r="S9" s="13" t="str">
        <f t="shared" si="6"/>
        <v>0</v>
      </c>
      <c r="T9" s="13">
        <f t="shared" si="7"/>
        <v>8.1417232632354146</v>
      </c>
      <c r="U9" s="13">
        <f t="shared" si="8"/>
        <v>4.7680179040443473</v>
      </c>
    </row>
    <row r="10" spans="1:21" x14ac:dyDescent="0.3">
      <c r="A10" s="3">
        <v>5</v>
      </c>
      <c r="B10" s="2" t="s">
        <v>9</v>
      </c>
      <c r="C10" s="1">
        <f>VLOOKUP($B$6:$B$17,'PLATE COUNT-J MESS'!$B$4:$F$15,2,0)</f>
        <v>27526</v>
      </c>
      <c r="D10" s="1">
        <f>VLOOKUP($B$6:$B$17,'FOOD WASTAGE-J-MESS'!$B$4:$F$15,2,0)</f>
        <v>959</v>
      </c>
      <c r="E10" s="13">
        <f t="shared" si="0"/>
        <v>3.4839787836954157</v>
      </c>
      <c r="F10" s="1">
        <f>VLOOKUP($B$6:$B$17,'PLATE COUNT-J MESS'!$B$4:$F$15,3,0)</f>
        <v>43960</v>
      </c>
      <c r="G10" s="1">
        <f>VLOOKUP($B$6:$B$17,'FOOD WASTAGE-J-MESS'!$B$4:$F$15,3,0)</f>
        <v>1420</v>
      </c>
      <c r="H10" s="13">
        <f t="shared" si="1"/>
        <v>3.230209281164695</v>
      </c>
      <c r="I10" s="1">
        <f>VLOOKUP($B$6:$B$17,'PLATE COUNT-J MESS'!$B$4:$F$15,4,0)</f>
        <v>45974</v>
      </c>
      <c r="J10" s="1">
        <f>VLOOKUP($B$6:$B$17,'FOOD WASTAGE-J-MESS'!$B$4:$F$15,4,0)</f>
        <v>0</v>
      </c>
      <c r="K10" s="1" t="str">
        <f t="shared" si="2"/>
        <v>0</v>
      </c>
      <c r="L10" s="1">
        <f>VLOOKUP($B$6:$B$17,'PLATE COUNT-J MESS'!$B$4:$F$15,5,0)</f>
        <v>45974</v>
      </c>
      <c r="M10" s="1">
        <f>VLOOKUP($B$6:$B$17,'FOOD WASTAGE-J-MESS'!$B$4:$F$15,5,0)</f>
        <v>1552</v>
      </c>
      <c r="N10" s="14">
        <f t="shared" si="3"/>
        <v>3.3758211162831167</v>
      </c>
      <c r="P10" s="2" t="s">
        <v>9</v>
      </c>
      <c r="Q10" s="13">
        <f t="shared" si="4"/>
        <v>3.4839787836954157</v>
      </c>
      <c r="R10" s="13">
        <f t="shared" si="5"/>
        <v>3.230209281164695</v>
      </c>
      <c r="S10" s="13" t="str">
        <f t="shared" si="6"/>
        <v>0</v>
      </c>
      <c r="T10" s="13">
        <f t="shared" si="7"/>
        <v>3.3758211162831167</v>
      </c>
      <c r="U10" s="13">
        <f t="shared" si="8"/>
        <v>2.5225022952858067</v>
      </c>
    </row>
    <row r="11" spans="1:21" x14ac:dyDescent="0.3">
      <c r="A11" s="3">
        <v>6</v>
      </c>
      <c r="B11" s="2" t="s">
        <v>10</v>
      </c>
      <c r="C11" s="1">
        <f>VLOOKUP($B$6:$B$17,'PLATE COUNT-J MESS'!$B$4:$F$15,2,0)</f>
        <v>26195</v>
      </c>
      <c r="D11" s="1">
        <f>VLOOKUP($B$6:$B$17,'FOOD WASTAGE-J-MESS'!$B$4:$F$15,2,0)</f>
        <v>948</v>
      </c>
      <c r="E11" s="13">
        <f t="shared" si="0"/>
        <v>3.6190112616911621</v>
      </c>
      <c r="F11" s="1">
        <f>VLOOKUP($B$6:$B$17,'PLATE COUNT-J MESS'!$B$4:$F$15,3,0)</f>
        <v>41511</v>
      </c>
      <c r="G11" s="1">
        <f>VLOOKUP($B$6:$B$17,'FOOD WASTAGE-J-MESS'!$B$4:$F$15,3,0)</f>
        <v>1210</v>
      </c>
      <c r="H11" s="13">
        <f t="shared" si="1"/>
        <v>2.9148900291488999</v>
      </c>
      <c r="I11" s="1">
        <f>VLOOKUP($B$6:$B$17,'PLATE COUNT-J MESS'!$B$4:$F$15,4,0)</f>
        <v>46272</v>
      </c>
      <c r="J11" s="1">
        <f>VLOOKUP($B$6:$B$17,'FOOD WASTAGE-J-MESS'!$B$4:$F$15,4,0)</f>
        <v>0</v>
      </c>
      <c r="K11" s="1" t="str">
        <f t="shared" si="2"/>
        <v>0</v>
      </c>
      <c r="L11" s="1">
        <f>VLOOKUP($B$6:$B$17,'PLATE COUNT-J MESS'!$B$4:$F$15,5,0)</f>
        <v>46272</v>
      </c>
      <c r="M11" s="1">
        <f>VLOOKUP($B$6:$B$17,'FOOD WASTAGE-J-MESS'!$B$4:$F$15,5,0)</f>
        <v>1390</v>
      </c>
      <c r="N11" s="14">
        <f t="shared" si="3"/>
        <v>3.0039764868603043</v>
      </c>
      <c r="P11" s="2" t="s">
        <v>10</v>
      </c>
      <c r="Q11" s="13">
        <f t="shared" si="4"/>
        <v>3.6190112616911621</v>
      </c>
      <c r="R11" s="13">
        <f t="shared" si="5"/>
        <v>2.9148900291488999</v>
      </c>
      <c r="S11" s="13" t="str">
        <f t="shared" si="6"/>
        <v>0</v>
      </c>
      <c r="T11" s="13">
        <f t="shared" si="7"/>
        <v>3.0039764868603043</v>
      </c>
      <c r="U11" s="13">
        <f t="shared" si="8"/>
        <v>2.3844694444250916</v>
      </c>
    </row>
    <row r="12" spans="1:21" x14ac:dyDescent="0.3">
      <c r="A12" s="3">
        <v>7</v>
      </c>
      <c r="B12" s="2" t="s">
        <v>11</v>
      </c>
      <c r="C12" s="1">
        <f>VLOOKUP($B$6:$B$17,'PLATE COUNT-J MESS'!$B$4:$F$15,2,0)</f>
        <v>26369</v>
      </c>
      <c r="D12" s="1">
        <f>VLOOKUP($B$6:$B$17,'FOOD WASTAGE-J-MESS'!$B$4:$F$15,2,0)</f>
        <v>694</v>
      </c>
      <c r="E12" s="13">
        <f t="shared" si="0"/>
        <v>2.6318783419924912</v>
      </c>
      <c r="F12" s="1">
        <f>VLOOKUP($B$6:$B$17,'PLATE COUNT-J MESS'!$B$4:$F$15,3,0)</f>
        <v>43172</v>
      </c>
      <c r="G12" s="1">
        <f>VLOOKUP($B$6:$B$17,'FOOD WASTAGE-J-MESS'!$B$4:$F$15,3,0)</f>
        <v>882</v>
      </c>
      <c r="H12" s="13">
        <f t="shared" si="1"/>
        <v>2.0429908273881221</v>
      </c>
      <c r="I12" s="1">
        <f>VLOOKUP($B$6:$B$17,'PLATE COUNT-J MESS'!$B$4:$F$15,4,0)</f>
        <v>45651</v>
      </c>
      <c r="J12" s="1">
        <f>VLOOKUP($B$6:$B$17,'FOOD WASTAGE-J-MESS'!$B$4:$F$15,4,0)</f>
        <v>0</v>
      </c>
      <c r="K12" s="1" t="str">
        <f t="shared" si="2"/>
        <v>0</v>
      </c>
      <c r="L12" s="1">
        <f>VLOOKUP($B$6:$B$17,'PLATE COUNT-J MESS'!$B$4:$F$15,5,0)</f>
        <v>45652</v>
      </c>
      <c r="M12" s="1">
        <f>VLOOKUP($B$6:$B$17,'FOOD WASTAGE-J-MESS'!$B$4:$F$15,5,0)</f>
        <v>985</v>
      </c>
      <c r="N12" s="14">
        <f t="shared" si="3"/>
        <v>2.157627267151494</v>
      </c>
      <c r="P12" s="2" t="s">
        <v>11</v>
      </c>
      <c r="Q12" s="13">
        <f t="shared" si="4"/>
        <v>2.6318783419924912</v>
      </c>
      <c r="R12" s="13">
        <f t="shared" si="5"/>
        <v>2.0429908273881221</v>
      </c>
      <c r="S12" s="13" t="str">
        <f t="shared" si="6"/>
        <v>0</v>
      </c>
      <c r="T12" s="13">
        <f t="shared" si="7"/>
        <v>2.157627267151494</v>
      </c>
      <c r="U12" s="13">
        <f t="shared" si="8"/>
        <v>1.7081241091330268</v>
      </c>
    </row>
    <row r="13" spans="1:21" x14ac:dyDescent="0.3">
      <c r="A13" s="3">
        <v>8</v>
      </c>
      <c r="B13" s="2" t="s">
        <v>12</v>
      </c>
      <c r="C13" s="1">
        <f>VLOOKUP($B$6:$B$17,'PLATE COUNT-J MESS'!$B$4:$F$15,2,0)</f>
        <v>27719</v>
      </c>
      <c r="D13" s="1">
        <f>VLOOKUP($B$6:$B$17,'FOOD WASTAGE-J-MESS'!$B$4:$F$15,2,0)</f>
        <v>734</v>
      </c>
      <c r="E13" s="13">
        <f t="shared" si="0"/>
        <v>2.6480031747177026</v>
      </c>
      <c r="F13" s="1">
        <f>VLOOKUP($B$6:$B$17,'PLATE COUNT-J MESS'!$B$4:$F$15,3,0)</f>
        <v>40837</v>
      </c>
      <c r="G13" s="1">
        <f>VLOOKUP($B$6:$B$17,'FOOD WASTAGE-J-MESS'!$B$4:$F$15,3,0)</f>
        <v>889</v>
      </c>
      <c r="H13" s="13">
        <f t="shared" si="1"/>
        <v>2.1769473761539779</v>
      </c>
      <c r="I13" s="1">
        <f>VLOOKUP($B$6:$B$17,'PLATE COUNT-J MESS'!$B$4:$F$15,4,0)</f>
        <v>46388</v>
      </c>
      <c r="J13" s="1">
        <f>VLOOKUP($B$6:$B$17,'FOOD WASTAGE-J-MESS'!$B$4:$F$15,4,0)</f>
        <v>0</v>
      </c>
      <c r="K13" s="1" t="str">
        <f t="shared" si="2"/>
        <v>0</v>
      </c>
      <c r="L13" s="1">
        <f>VLOOKUP($B$6:$B$17,'PLATE COUNT-J MESS'!$B$4:$F$15,5,0)</f>
        <v>46388</v>
      </c>
      <c r="M13" s="1">
        <f>VLOOKUP($B$6:$B$17,'FOOD WASTAGE-J-MESS'!$B$4:$F$15,5,0)</f>
        <v>1052</v>
      </c>
      <c r="N13" s="14">
        <f t="shared" si="3"/>
        <v>2.2678278865223764</v>
      </c>
      <c r="P13" s="2" t="s">
        <v>12</v>
      </c>
      <c r="Q13" s="13">
        <f t="shared" si="4"/>
        <v>2.6480031747177026</v>
      </c>
      <c r="R13" s="13">
        <f t="shared" si="5"/>
        <v>2.1769473761539779</v>
      </c>
      <c r="S13" s="13" t="str">
        <f t="shared" si="6"/>
        <v>0</v>
      </c>
      <c r="T13" s="13">
        <f t="shared" si="7"/>
        <v>2.2678278865223764</v>
      </c>
      <c r="U13" s="13">
        <f t="shared" si="8"/>
        <v>1.773194609348514</v>
      </c>
    </row>
    <row r="14" spans="1:21" x14ac:dyDescent="0.3">
      <c r="A14" s="3">
        <v>9</v>
      </c>
      <c r="B14" s="2" t="s">
        <v>13</v>
      </c>
      <c r="C14" s="1">
        <f>VLOOKUP($B$6:$B$17,'PLATE COUNT-J MESS'!$B$4:$F$15,2,0)</f>
        <v>8377</v>
      </c>
      <c r="D14" s="1">
        <f>VLOOKUP($B$6:$B$17,'FOOD WASTAGE-J-MESS'!$B$4:$F$15,2,0)</f>
        <v>237</v>
      </c>
      <c r="E14" s="13">
        <f t="shared" si="0"/>
        <v>2.8291751223588397</v>
      </c>
      <c r="F14" s="1">
        <f>VLOOKUP($B$6:$B$17,'PLATE COUNT-J MESS'!$B$4:$F$15,3,0)</f>
        <v>9939</v>
      </c>
      <c r="G14" s="1">
        <f>VLOOKUP($B$6:$B$17,'FOOD WASTAGE-J-MESS'!$B$4:$F$15,3,0)</f>
        <v>306</v>
      </c>
      <c r="H14" s="13">
        <f t="shared" si="1"/>
        <v>3.0787805614246904</v>
      </c>
      <c r="I14" s="1">
        <f>VLOOKUP($B$6:$B$17,'PLATE COUNT-J MESS'!$B$4:$F$15,4,0)</f>
        <v>9655</v>
      </c>
      <c r="J14" s="1">
        <f>VLOOKUP($B$6:$B$17,'FOOD WASTAGE-J-MESS'!$B$4:$F$15,4,0)</f>
        <v>0</v>
      </c>
      <c r="K14" s="1" t="str">
        <f t="shared" si="2"/>
        <v>0</v>
      </c>
      <c r="L14" s="1">
        <f>VLOOKUP($B$6:$B$17,'PLATE COUNT-J MESS'!$B$4:$F$15,5,0)</f>
        <v>9655</v>
      </c>
      <c r="M14" s="1">
        <f>VLOOKUP($B$6:$B$17,'FOOD WASTAGE-J-MESS'!$B$4:$F$15,5,0)</f>
        <v>436</v>
      </c>
      <c r="N14" s="14">
        <f t="shared" si="3"/>
        <v>4.5157949249093736</v>
      </c>
      <c r="P14" s="2" t="s">
        <v>13</v>
      </c>
      <c r="Q14" s="13">
        <f t="shared" si="4"/>
        <v>2.8291751223588397</v>
      </c>
      <c r="R14" s="13">
        <f t="shared" si="5"/>
        <v>3.0787805614246904</v>
      </c>
      <c r="S14" s="13" t="str">
        <f t="shared" si="6"/>
        <v>0</v>
      </c>
      <c r="T14" s="13">
        <f t="shared" si="7"/>
        <v>4.5157949249093736</v>
      </c>
      <c r="U14" s="13">
        <f t="shared" si="8"/>
        <v>2.605937652173226</v>
      </c>
    </row>
    <row r="15" spans="1:21" x14ac:dyDescent="0.3">
      <c r="A15" s="3">
        <v>10</v>
      </c>
      <c r="B15" s="2" t="s">
        <v>14</v>
      </c>
      <c r="C15" s="1">
        <f>VLOOKUP($B$6:$B$17,'PLATE COUNT-J MESS'!$B$4:$F$15,2,0)</f>
        <v>8000</v>
      </c>
      <c r="D15" s="1">
        <f>VLOOKUP($B$6:$B$17,'FOOD WASTAGE-J-MESS'!$B$4:$F$15,2,0)</f>
        <v>121</v>
      </c>
      <c r="E15" s="13">
        <f t="shared" si="0"/>
        <v>1.5125</v>
      </c>
      <c r="F15" s="1">
        <f>VLOOKUP($B$6:$B$17,'PLATE COUNT-J MESS'!$B$4:$F$15,3,0)</f>
        <v>12378</v>
      </c>
      <c r="G15" s="1">
        <f>VLOOKUP($B$6:$B$17,'FOOD WASTAGE-J-MESS'!$B$4:$F$15,3,0)</f>
        <v>160</v>
      </c>
      <c r="H15" s="13">
        <f t="shared" si="1"/>
        <v>1.2926159314913557</v>
      </c>
      <c r="I15" s="1">
        <f>VLOOKUP($B$6:$B$17,'PLATE COUNT-J MESS'!$B$4:$F$15,4,0)</f>
        <v>12944</v>
      </c>
      <c r="J15" s="1">
        <f>VLOOKUP($B$6:$B$17,'FOOD WASTAGE-J-MESS'!$B$4:$F$15,4,0)</f>
        <v>0</v>
      </c>
      <c r="K15" s="1" t="str">
        <f t="shared" si="2"/>
        <v>0</v>
      </c>
      <c r="L15" s="1">
        <f>VLOOKUP($B$6:$B$17,'PLATE COUNT-J MESS'!$B$4:$F$15,5,0)</f>
        <v>13894</v>
      </c>
      <c r="M15" s="1">
        <f>VLOOKUP($B$6:$B$17,'FOOD WASTAGE-J-MESS'!$B$4:$F$15,5,0)</f>
        <v>165</v>
      </c>
      <c r="N15" s="14">
        <f t="shared" si="3"/>
        <v>1.1875629768245286</v>
      </c>
      <c r="P15" s="2" t="s">
        <v>14</v>
      </c>
      <c r="Q15" s="13">
        <f t="shared" si="4"/>
        <v>1.5125</v>
      </c>
      <c r="R15" s="13">
        <f t="shared" si="5"/>
        <v>1.2926159314913557</v>
      </c>
      <c r="S15" s="13" t="str">
        <f t="shared" si="6"/>
        <v>0</v>
      </c>
      <c r="T15" s="13">
        <f t="shared" si="7"/>
        <v>1.1875629768245286</v>
      </c>
      <c r="U15" s="13">
        <f t="shared" si="8"/>
        <v>0.99816972707897111</v>
      </c>
    </row>
    <row r="16" spans="1:21" x14ac:dyDescent="0.3">
      <c r="A16" s="3">
        <v>11</v>
      </c>
      <c r="B16" s="2" t="s">
        <v>15</v>
      </c>
      <c r="C16" s="1">
        <f>VLOOKUP($B$6:$B$17,'PLATE COUNT-J MESS'!$B$4:$F$15,2,0)</f>
        <v>27498</v>
      </c>
      <c r="D16" s="1">
        <f>VLOOKUP($B$6:$B$17,'FOOD WASTAGE-J-MESS'!$B$4:$F$15,2,0)</f>
        <v>781</v>
      </c>
      <c r="E16" s="13">
        <f t="shared" si="0"/>
        <v>2.8402065604771254</v>
      </c>
      <c r="F16" s="1">
        <f>VLOOKUP($B$6:$B$17,'PLATE COUNT-J MESS'!$B$4:$F$15,3,0)</f>
        <v>47297</v>
      </c>
      <c r="G16" s="1">
        <f>VLOOKUP($B$6:$B$17,'FOOD WASTAGE-J-MESS'!$B$4:$F$15,3,0)</f>
        <v>890</v>
      </c>
      <c r="H16" s="13">
        <f t="shared" si="1"/>
        <v>1.8817261137070003</v>
      </c>
      <c r="I16" s="1">
        <f>VLOOKUP($B$6:$B$17,'PLATE COUNT-J MESS'!$B$4:$F$15,4,0)</f>
        <v>54188</v>
      </c>
      <c r="J16" s="1">
        <f>VLOOKUP($B$6:$B$17,'FOOD WASTAGE-J-MESS'!$B$4:$F$15,4,0)</f>
        <v>0</v>
      </c>
      <c r="K16" s="1" t="str">
        <f t="shared" si="2"/>
        <v>0</v>
      </c>
      <c r="L16" s="1">
        <f>VLOOKUP($B$6:$B$17,'PLATE COUNT-J MESS'!$B$4:$F$15,5,0)</f>
        <v>54188</v>
      </c>
      <c r="M16" s="1">
        <f>VLOOKUP($B$6:$B$17,'FOOD WASTAGE-J-MESS'!$B$4:$F$15,5,0)</f>
        <v>1009</v>
      </c>
      <c r="N16" s="14">
        <f t="shared" si="3"/>
        <v>1.8620358751014987</v>
      </c>
      <c r="P16" s="2" t="s">
        <v>15</v>
      </c>
      <c r="Q16" s="13">
        <f t="shared" si="4"/>
        <v>2.8402065604771254</v>
      </c>
      <c r="R16" s="13">
        <f t="shared" si="5"/>
        <v>1.8817261137070003</v>
      </c>
      <c r="S16" s="13" t="str">
        <f t="shared" si="6"/>
        <v>0</v>
      </c>
      <c r="T16" s="13">
        <f t="shared" si="7"/>
        <v>1.8620358751014987</v>
      </c>
      <c r="U16" s="13">
        <f t="shared" si="8"/>
        <v>1.6459921373214061</v>
      </c>
    </row>
    <row r="17" spans="1:21" x14ac:dyDescent="0.3">
      <c r="A17" s="3">
        <v>12</v>
      </c>
      <c r="B17" s="2" t="s">
        <v>27</v>
      </c>
      <c r="C17" s="1">
        <f>VLOOKUP($B$6:$B$17,'PLATE COUNT-J MESS'!$B$4:$F$15,2,0)</f>
        <v>27497</v>
      </c>
      <c r="D17" s="1">
        <f>VLOOKUP($B$6:$B$17,'FOOD WASTAGE-J-MESS'!$B$4:$F$15,2,0)</f>
        <v>898</v>
      </c>
      <c r="E17" s="13">
        <f t="shared" si="0"/>
        <v>3.2658108157253523</v>
      </c>
      <c r="F17" s="1">
        <f>VLOOKUP($B$6:$B$17,'PLATE COUNT-J MESS'!$B$4:$F$15,3,0)</f>
        <v>48611</v>
      </c>
      <c r="G17" s="1">
        <f>VLOOKUP($B$6:$B$17,'FOOD WASTAGE-J-MESS'!$B$4:$F$15,3,0)</f>
        <v>1066</v>
      </c>
      <c r="H17" s="13">
        <f t="shared" si="1"/>
        <v>2.1929192981012529</v>
      </c>
      <c r="I17" s="1">
        <f>VLOOKUP($B$6:$B$17,'PLATE COUNT-J MESS'!$B$4:$F$15,4,0)</f>
        <v>55935</v>
      </c>
      <c r="J17" s="1">
        <f>VLOOKUP($B$6:$B$17,'FOOD WASTAGE-J-MESS'!$B$4:$F$15,4,0)</f>
        <v>0</v>
      </c>
      <c r="K17" s="1" t="str">
        <f t="shared" si="2"/>
        <v>0</v>
      </c>
      <c r="L17" s="1">
        <f>VLOOKUP($B$6:$B$17,'PLATE COUNT-J MESS'!$B$4:$F$15,5,0)</f>
        <v>55805</v>
      </c>
      <c r="M17" s="1">
        <f>VLOOKUP($B$6:$B$17,'FOOD WASTAGE-J-MESS'!$B$4:$F$15,5,0)</f>
        <v>1231</v>
      </c>
      <c r="N17" s="14">
        <f t="shared" si="3"/>
        <v>2.2058955290744557</v>
      </c>
      <c r="P17" s="2" t="s">
        <v>27</v>
      </c>
      <c r="Q17" s="13">
        <f t="shared" si="4"/>
        <v>3.2658108157253523</v>
      </c>
      <c r="R17" s="13">
        <f t="shared" si="5"/>
        <v>2.1929192981012529</v>
      </c>
      <c r="S17" s="13" t="str">
        <f t="shared" si="6"/>
        <v>0</v>
      </c>
      <c r="T17" s="13">
        <f t="shared" si="7"/>
        <v>2.2058955290744557</v>
      </c>
      <c r="U17" s="13">
        <f t="shared" si="8"/>
        <v>1.9161564107252653</v>
      </c>
    </row>
    <row r="18" spans="1:21" x14ac:dyDescent="0.3">
      <c r="A18" s="12"/>
      <c r="B18" s="8" t="s">
        <v>16</v>
      </c>
      <c r="C18" s="15">
        <f>SUBTOTAL(9,C5:C17)</f>
        <v>241959</v>
      </c>
      <c r="D18" s="15">
        <f t="shared" ref="D18:N18" si="9">SUBTOTAL(9,D5:D17)</f>
        <v>7603</v>
      </c>
      <c r="E18" s="15">
        <f t="shared" si="9"/>
        <v>36.68869620411062</v>
      </c>
      <c r="F18" s="15">
        <f t="shared" si="9"/>
        <v>371544</v>
      </c>
      <c r="G18" s="15">
        <f t="shared" si="9"/>
        <v>14001</v>
      </c>
      <c r="H18" s="15">
        <f t="shared" si="9"/>
        <v>53.674151882643102</v>
      </c>
      <c r="I18" s="15">
        <f t="shared" si="9"/>
        <v>404338</v>
      </c>
      <c r="J18" s="15">
        <f t="shared" si="9"/>
        <v>0</v>
      </c>
      <c r="K18" s="15">
        <f t="shared" si="9"/>
        <v>0</v>
      </c>
      <c r="L18" s="15">
        <f t="shared" si="9"/>
        <v>405242</v>
      </c>
      <c r="M18" s="15">
        <f t="shared" si="9"/>
        <v>15221</v>
      </c>
      <c r="N18" s="15">
        <f t="shared" si="9"/>
        <v>45.911315376665264</v>
      </c>
      <c r="Q18" s="16"/>
    </row>
    <row r="19" spans="1:21" ht="158.4" x14ac:dyDescent="0.3">
      <c r="R19" s="17" t="s">
        <v>51</v>
      </c>
      <c r="S19" s="17"/>
      <c r="T19" s="17"/>
      <c r="U19" s="18">
        <f>SUM(U6:U17)/(12)</f>
        <v>2.8390450721545619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32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114</v>
      </c>
      <c r="D4" s="1">
        <v>388</v>
      </c>
      <c r="E4" s="1">
        <v>0</v>
      </c>
      <c r="F4" s="1">
        <v>393</v>
      </c>
      <c r="G4" s="4">
        <f>SUM(C4:F4)</f>
        <v>895</v>
      </c>
    </row>
    <row r="5" spans="1:7" x14ac:dyDescent="0.3">
      <c r="A5" s="3">
        <v>2</v>
      </c>
      <c r="B5" s="2" t="s">
        <v>6</v>
      </c>
      <c r="C5" s="1">
        <v>119</v>
      </c>
      <c r="D5" s="1">
        <v>387</v>
      </c>
      <c r="E5" s="1">
        <v>0</v>
      </c>
      <c r="F5" s="1">
        <v>400.5</v>
      </c>
      <c r="G5" s="4">
        <f t="shared" ref="G5:G15" si="0">SUM(C5:F5)</f>
        <v>906.5</v>
      </c>
    </row>
    <row r="6" spans="1:7" x14ac:dyDescent="0.3">
      <c r="A6" s="3">
        <v>3</v>
      </c>
      <c r="B6" s="2" t="s">
        <v>7</v>
      </c>
      <c r="C6" s="1">
        <v>126</v>
      </c>
      <c r="D6" s="1">
        <v>317.5</v>
      </c>
      <c r="E6" s="1">
        <v>0</v>
      </c>
      <c r="F6" s="1">
        <v>352</v>
      </c>
      <c r="G6" s="4">
        <f t="shared" si="0"/>
        <v>795.5</v>
      </c>
    </row>
    <row r="7" spans="1:7" x14ac:dyDescent="0.3">
      <c r="A7" s="3">
        <v>4</v>
      </c>
      <c r="B7" s="2" t="s">
        <v>8</v>
      </c>
      <c r="C7" s="1">
        <v>83</v>
      </c>
      <c r="D7" s="1">
        <v>177.5</v>
      </c>
      <c r="E7" s="1">
        <v>0</v>
      </c>
      <c r="F7" s="1">
        <v>145</v>
      </c>
      <c r="G7" s="4">
        <f t="shared" si="0"/>
        <v>405.5</v>
      </c>
    </row>
    <row r="8" spans="1:7" x14ac:dyDescent="0.3">
      <c r="A8" s="3">
        <v>5</v>
      </c>
      <c r="B8" s="2" t="s">
        <v>9</v>
      </c>
      <c r="C8" s="1">
        <v>198.5</v>
      </c>
      <c r="D8" s="1">
        <v>269.5</v>
      </c>
      <c r="E8" s="1">
        <v>0</v>
      </c>
      <c r="F8" s="1">
        <v>275.5</v>
      </c>
      <c r="G8" s="4">
        <f t="shared" si="0"/>
        <v>743.5</v>
      </c>
    </row>
    <row r="9" spans="1:7" x14ac:dyDescent="0.3">
      <c r="A9" s="3">
        <v>6</v>
      </c>
      <c r="B9" s="2" t="s">
        <v>10</v>
      </c>
      <c r="C9" s="1">
        <v>205</v>
      </c>
      <c r="D9" s="1">
        <v>297</v>
      </c>
      <c r="E9" s="1">
        <v>0</v>
      </c>
      <c r="F9" s="1">
        <v>341</v>
      </c>
      <c r="G9" s="4">
        <f t="shared" si="0"/>
        <v>843</v>
      </c>
    </row>
    <row r="10" spans="1:7" x14ac:dyDescent="0.3">
      <c r="A10" s="3">
        <v>7</v>
      </c>
      <c r="B10" s="2" t="s">
        <v>11</v>
      </c>
      <c r="C10" s="1">
        <v>183</v>
      </c>
      <c r="D10" s="1">
        <v>309</v>
      </c>
      <c r="E10" s="1">
        <v>0</v>
      </c>
      <c r="F10" s="1">
        <v>382</v>
      </c>
      <c r="G10" s="4">
        <f t="shared" si="0"/>
        <v>874</v>
      </c>
    </row>
    <row r="11" spans="1:7" x14ac:dyDescent="0.3">
      <c r="A11" s="3">
        <v>8</v>
      </c>
      <c r="B11" s="2" t="s">
        <v>12</v>
      </c>
      <c r="C11" s="1">
        <v>181</v>
      </c>
      <c r="D11" s="1">
        <v>376</v>
      </c>
      <c r="E11" s="1">
        <v>0</v>
      </c>
      <c r="F11" s="1">
        <v>469</v>
      </c>
      <c r="G11" s="4">
        <f t="shared" si="0"/>
        <v>1026</v>
      </c>
    </row>
    <row r="12" spans="1:7" x14ac:dyDescent="0.3">
      <c r="A12" s="3">
        <v>9</v>
      </c>
      <c r="B12" s="2" t="s">
        <v>13</v>
      </c>
      <c r="C12" s="1">
        <v>116</v>
      </c>
      <c r="D12" s="1">
        <v>241</v>
      </c>
      <c r="E12" s="1">
        <v>0</v>
      </c>
      <c r="F12" s="1">
        <v>301</v>
      </c>
      <c r="G12" s="4">
        <f t="shared" si="0"/>
        <v>658</v>
      </c>
    </row>
    <row r="13" spans="1:7" x14ac:dyDescent="0.3">
      <c r="A13" s="3">
        <v>10</v>
      </c>
      <c r="B13" s="2" t="s">
        <v>14</v>
      </c>
      <c r="C13" s="1">
        <v>135</v>
      </c>
      <c r="D13" s="1">
        <v>245</v>
      </c>
      <c r="E13" s="1">
        <v>0</v>
      </c>
      <c r="F13" s="1">
        <v>299</v>
      </c>
      <c r="G13" s="4">
        <f t="shared" si="0"/>
        <v>679</v>
      </c>
    </row>
    <row r="14" spans="1:7" x14ac:dyDescent="0.3">
      <c r="A14" s="3">
        <v>11</v>
      </c>
      <c r="B14" s="2" t="s">
        <v>15</v>
      </c>
      <c r="C14" s="1">
        <v>167</v>
      </c>
      <c r="D14" s="1">
        <v>444</v>
      </c>
      <c r="E14" s="1">
        <v>0</v>
      </c>
      <c r="F14" s="1">
        <v>491</v>
      </c>
      <c r="G14" s="4">
        <f t="shared" si="0"/>
        <v>1102</v>
      </c>
    </row>
    <row r="15" spans="1:7" x14ac:dyDescent="0.3">
      <c r="A15" s="3">
        <v>12</v>
      </c>
      <c r="B15" s="2" t="s">
        <v>27</v>
      </c>
      <c r="C15" s="1">
        <v>133</v>
      </c>
      <c r="D15" s="1">
        <v>541</v>
      </c>
      <c r="E15" s="1">
        <v>0</v>
      </c>
      <c r="F15" s="1">
        <v>638</v>
      </c>
      <c r="G15" s="4">
        <f t="shared" si="0"/>
        <v>1312</v>
      </c>
    </row>
    <row r="16" spans="1:7" x14ac:dyDescent="0.3">
      <c r="A16" s="5"/>
      <c r="B16" s="8" t="s">
        <v>16</v>
      </c>
      <c r="C16" s="9">
        <f>SUBTOTAL(9,C4:C15)</f>
        <v>1760.5</v>
      </c>
      <c r="D16" s="9">
        <f t="shared" ref="D16:G16" si="1">SUBTOTAL(9,D4:D15)</f>
        <v>3992.5</v>
      </c>
      <c r="E16" s="9">
        <f t="shared" si="1"/>
        <v>0</v>
      </c>
      <c r="F16" s="9">
        <f t="shared" si="1"/>
        <v>4487</v>
      </c>
      <c r="G16" s="10">
        <f t="shared" si="1"/>
        <v>10240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42</v>
      </c>
      <c r="B1" s="19"/>
      <c r="C1" s="19"/>
      <c r="D1" s="19"/>
      <c r="E1" s="19"/>
      <c r="F1" s="19"/>
      <c r="G1" s="19"/>
    </row>
    <row r="2" spans="1:7" x14ac:dyDescent="0.3">
      <c r="A2" s="19" t="s">
        <v>52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5650</v>
      </c>
      <c r="D4" s="1">
        <v>6976</v>
      </c>
      <c r="E4" s="1">
        <v>7226</v>
      </c>
      <c r="F4" s="1">
        <v>7186</v>
      </c>
      <c r="G4" s="1">
        <f>SUM(C4:F4)</f>
        <v>27038</v>
      </c>
    </row>
    <row r="5" spans="1:7" x14ac:dyDescent="0.3">
      <c r="A5" s="1">
        <v>2</v>
      </c>
      <c r="B5" s="2" t="s">
        <v>6</v>
      </c>
      <c r="C5" s="1">
        <v>5100</v>
      </c>
      <c r="D5" s="1">
        <v>7038</v>
      </c>
      <c r="E5" s="1">
        <v>7324</v>
      </c>
      <c r="F5" s="1">
        <v>7272</v>
      </c>
      <c r="G5" s="1">
        <f t="shared" ref="G5:G15" si="0">SUM(C5:F5)</f>
        <v>26734</v>
      </c>
    </row>
    <row r="6" spans="1:7" x14ac:dyDescent="0.3">
      <c r="A6" s="1">
        <v>3</v>
      </c>
      <c r="B6" s="2" t="s">
        <v>7</v>
      </c>
      <c r="C6" s="1">
        <v>3090</v>
      </c>
      <c r="D6" s="1">
        <v>3286</v>
      </c>
      <c r="E6" s="1">
        <v>3314</v>
      </c>
      <c r="F6" s="1">
        <v>3311</v>
      </c>
      <c r="G6" s="1">
        <f t="shared" si="0"/>
        <v>13001</v>
      </c>
    </row>
    <row r="7" spans="1:7" x14ac:dyDescent="0.3">
      <c r="A7" s="1">
        <v>4</v>
      </c>
      <c r="B7" s="2" t="s">
        <v>8</v>
      </c>
      <c r="C7" s="1">
        <v>1175</v>
      </c>
      <c r="D7" s="1">
        <v>1258</v>
      </c>
      <c r="E7" s="1">
        <v>1326</v>
      </c>
      <c r="F7" s="1">
        <v>1161</v>
      </c>
      <c r="G7" s="1">
        <f t="shared" si="0"/>
        <v>4920</v>
      </c>
    </row>
    <row r="8" spans="1:7" x14ac:dyDescent="0.3">
      <c r="A8" s="1">
        <v>5</v>
      </c>
      <c r="B8" s="2" t="s">
        <v>9</v>
      </c>
      <c r="C8" s="1">
        <v>9722</v>
      </c>
      <c r="D8" s="1">
        <v>10815</v>
      </c>
      <c r="E8" s="1">
        <v>11822</v>
      </c>
      <c r="F8" s="1">
        <v>11822</v>
      </c>
      <c r="G8" s="1">
        <f t="shared" si="0"/>
        <v>44181</v>
      </c>
    </row>
    <row r="9" spans="1:7" x14ac:dyDescent="0.3">
      <c r="A9" s="1">
        <v>6</v>
      </c>
      <c r="B9" s="2" t="s">
        <v>10</v>
      </c>
      <c r="C9" s="1">
        <v>10380</v>
      </c>
      <c r="D9" s="1">
        <v>12067</v>
      </c>
      <c r="E9" s="1">
        <v>12467</v>
      </c>
      <c r="F9" s="1">
        <v>12467</v>
      </c>
      <c r="G9" s="1">
        <f t="shared" si="0"/>
        <v>47381</v>
      </c>
    </row>
    <row r="10" spans="1:7" x14ac:dyDescent="0.3">
      <c r="A10" s="1">
        <v>7</v>
      </c>
      <c r="B10" s="2" t="s">
        <v>11</v>
      </c>
      <c r="C10" s="1">
        <v>9230</v>
      </c>
      <c r="D10" s="1">
        <v>18922</v>
      </c>
      <c r="E10" s="1">
        <v>12152</v>
      </c>
      <c r="F10" s="1">
        <v>12142</v>
      </c>
      <c r="G10" s="1">
        <f t="shared" si="0"/>
        <v>52446</v>
      </c>
    </row>
    <row r="11" spans="1:7" x14ac:dyDescent="0.3">
      <c r="A11" s="1">
        <v>8</v>
      </c>
      <c r="B11" s="2" t="s">
        <v>12</v>
      </c>
      <c r="C11" s="1">
        <v>8170</v>
      </c>
      <c r="D11" s="1">
        <v>11536</v>
      </c>
      <c r="E11" s="1">
        <v>12450</v>
      </c>
      <c r="F11" s="1">
        <v>12450</v>
      </c>
      <c r="G11" s="1">
        <f t="shared" si="0"/>
        <v>44606</v>
      </c>
    </row>
    <row r="12" spans="1:7" x14ac:dyDescent="0.3">
      <c r="A12" s="1">
        <v>9</v>
      </c>
      <c r="B12" s="2" t="s">
        <v>13</v>
      </c>
      <c r="C12" s="1">
        <v>5311</v>
      </c>
      <c r="D12" s="1">
        <v>6570</v>
      </c>
      <c r="E12" s="1">
        <v>7129</v>
      </c>
      <c r="F12" s="1">
        <v>7162</v>
      </c>
      <c r="G12" s="1">
        <f t="shared" si="0"/>
        <v>26172</v>
      </c>
    </row>
    <row r="13" spans="1:7" x14ac:dyDescent="0.3">
      <c r="A13" s="1">
        <v>10</v>
      </c>
      <c r="B13" s="2" t="s">
        <v>14</v>
      </c>
      <c r="C13" s="1">
        <v>6037</v>
      </c>
      <c r="D13" s="1">
        <v>10480</v>
      </c>
      <c r="E13" s="1">
        <v>8330</v>
      </c>
      <c r="F13" s="1">
        <v>8360</v>
      </c>
      <c r="G13" s="1">
        <f t="shared" si="0"/>
        <v>33207</v>
      </c>
    </row>
    <row r="14" spans="1:7" x14ac:dyDescent="0.3">
      <c r="A14" s="1">
        <v>11</v>
      </c>
      <c r="B14" s="2" t="s">
        <v>15</v>
      </c>
      <c r="C14" s="1">
        <v>8028</v>
      </c>
      <c r="D14" s="1">
        <v>11052</v>
      </c>
      <c r="E14" s="1">
        <v>11849</v>
      </c>
      <c r="F14" s="1">
        <v>11879</v>
      </c>
      <c r="G14" s="1">
        <f t="shared" si="0"/>
        <v>42808</v>
      </c>
    </row>
    <row r="15" spans="1:7" x14ac:dyDescent="0.3">
      <c r="A15" s="1">
        <v>12</v>
      </c>
      <c r="B15" s="2" t="s">
        <v>27</v>
      </c>
      <c r="C15" s="1">
        <v>8205</v>
      </c>
      <c r="D15" s="1">
        <v>11050</v>
      </c>
      <c r="E15" s="1">
        <v>11915</v>
      </c>
      <c r="F15" s="1">
        <v>11915</v>
      </c>
      <c r="G15" s="1">
        <f t="shared" si="0"/>
        <v>43085</v>
      </c>
    </row>
    <row r="16" spans="1:7" x14ac:dyDescent="0.3">
      <c r="A16" s="2"/>
      <c r="B16" s="19" t="s">
        <v>16</v>
      </c>
      <c r="C16" s="19">
        <f>SUBTOTAL(9,C4:C15)</f>
        <v>80098</v>
      </c>
      <c r="D16" s="19">
        <f t="shared" ref="D16:G16" si="1">SUBTOTAL(9,D4:D15)</f>
        <v>111050</v>
      </c>
      <c r="E16" s="19">
        <f t="shared" si="1"/>
        <v>107304</v>
      </c>
      <c r="F16" s="19">
        <f t="shared" si="1"/>
        <v>107127</v>
      </c>
      <c r="G16" s="19">
        <f t="shared" si="1"/>
        <v>405579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53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54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COUNT-MMEAKSHI MESS'!$B$4:$F$15,2,0)</f>
        <v>5650</v>
      </c>
      <c r="D5" s="1">
        <f>VLOOKUP($B$5:$B$16,'FOOD WASTAGE-MEENAKSHI MESS'!$B$4:$F$15,2,0)</f>
        <v>114</v>
      </c>
      <c r="E5" s="13">
        <f>IFERROR(SUM(D5/C5*100),"0")</f>
        <v>2.0176991150442478</v>
      </c>
      <c r="F5" s="1">
        <f>VLOOKUP($B$5:$B$16,'PLATE COUNT-MMEAKSHI MESS'!$B$4:$F$15,3,0)</f>
        <v>6976</v>
      </c>
      <c r="G5" s="1">
        <f>VLOOKUP($B$5:$B$16,'FOOD WASTAGE-MEENAKSHI MESS'!$B$4:$F$15,3,0)</f>
        <v>388</v>
      </c>
      <c r="H5" s="13">
        <f>IFERROR(SUM(G5/F5*100),"0")</f>
        <v>5.5619266055045875</v>
      </c>
      <c r="I5" s="1">
        <f>VLOOKUP($B$5:$B$16,'PLATE COUNT-MMEAKSHI MESS'!$B$4:$F$15,4,0)</f>
        <v>7226</v>
      </c>
      <c r="J5" s="1">
        <f>VLOOKUP($B$5:$B$16,'FOOD WASTAGE-MEENAKSHI MESS'!$B$4:$F$15,4,0)</f>
        <v>0</v>
      </c>
      <c r="K5" s="1" t="str">
        <f>IFERROR(SUM(I5/J5),"0")</f>
        <v>0</v>
      </c>
      <c r="L5" s="1">
        <f>VLOOKUP($B$5:$B$16,'PLATE COUNT-MMEAKSHI MESS'!$B$4:$F$15,5,0)</f>
        <v>7186</v>
      </c>
      <c r="M5" s="1">
        <f>VLOOKUP($B$5:$B$16,'FOOD WASTAGE-MEENAKSHI MESS'!$B$4:$F$15,5,0)</f>
        <v>393</v>
      </c>
      <c r="N5" s="14">
        <f>IFERROR(SUM(M5/L5*100),"0")</f>
        <v>5.4689674366824388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COUNT-MMEAKSHI MESS'!$B$4:$F$15,2,0)</f>
        <v>5100</v>
      </c>
      <c r="D6" s="1">
        <f>VLOOKUP($B$5:$B$16,'FOOD WASTAGE-MEENAKSHI MESS'!$B$4:$F$15,2,0)</f>
        <v>119</v>
      </c>
      <c r="E6" s="13">
        <f t="shared" ref="E6:E16" si="0">IFERROR(SUM(D6/C6*100),"0")</f>
        <v>2.3333333333333335</v>
      </c>
      <c r="F6" s="1">
        <f>VLOOKUP($B$5:$B$16,'PLATE COUNT-MMEAKSHI MESS'!$B$4:$F$15,3,0)</f>
        <v>7038</v>
      </c>
      <c r="G6" s="1">
        <f>VLOOKUP($B$5:$B$16,'FOOD WASTAGE-MEENAKSHI MESS'!$B$4:$F$15,3,0)</f>
        <v>387</v>
      </c>
      <c r="H6" s="13">
        <f t="shared" ref="H6:H16" si="1">IFERROR(SUM(G6/F6*100),"0")</f>
        <v>5.4987212276214841</v>
      </c>
      <c r="I6" s="1">
        <f>VLOOKUP($B$5:$B$16,'PLATE COUNT-MMEAKSHI MESS'!$B$4:$F$15,4,0)</f>
        <v>7324</v>
      </c>
      <c r="J6" s="1">
        <f>VLOOKUP($B$5:$B$16,'FOOD WASTAGE-MEENAKSHI MESS'!$B$4:$F$15,4,0)</f>
        <v>0</v>
      </c>
      <c r="K6" s="1" t="str">
        <f t="shared" ref="K6:K16" si="2">IFERROR(SUM(I6/J6),"0")</f>
        <v>0</v>
      </c>
      <c r="L6" s="1">
        <f>VLOOKUP($B$5:$B$16,'PLATE COUNT-MMEAKSHI MESS'!$B$4:$F$15,5,0)</f>
        <v>7272</v>
      </c>
      <c r="M6" s="1">
        <f>VLOOKUP($B$5:$B$16,'FOOD WASTAGE-MEENAKSHI MESS'!$B$4:$F$15,5,0)</f>
        <v>400.5</v>
      </c>
      <c r="N6" s="14">
        <f t="shared" ref="N6:N16" si="3">IFERROR(SUM(M6/L6*100),"0")</f>
        <v>5.5074257425742577</v>
      </c>
      <c r="P6" s="2" t="s">
        <v>5</v>
      </c>
      <c r="Q6" s="13">
        <f t="shared" ref="Q6:Q17" si="4">VLOOKUP($P$6:$P$17,$B$4:$N$16,4,0)</f>
        <v>2.0176991150442478</v>
      </c>
      <c r="R6" s="13">
        <f t="shared" ref="R6:R17" si="5">VLOOKUP($P$6:$P$17,$B$4:$N$16,7,0)</f>
        <v>5.5619266055045875</v>
      </c>
      <c r="S6" s="13" t="str">
        <f t="shared" ref="S6:S17" si="6">VLOOKUP($P$6:$P$17,$B$4:$N$16,10,0)</f>
        <v>0</v>
      </c>
      <c r="T6" s="13">
        <f t="shared" ref="T6:T17" si="7">VLOOKUP($P$6:$P$17,$B$4:$N$16,13,0)</f>
        <v>5.4689674366824388</v>
      </c>
      <c r="U6" s="13">
        <f>SUM(Q6:T6)/4</f>
        <v>3.2621482893078184</v>
      </c>
    </row>
    <row r="7" spans="1:21" x14ac:dyDescent="0.3">
      <c r="A7" s="3">
        <v>3</v>
      </c>
      <c r="B7" s="2" t="s">
        <v>7</v>
      </c>
      <c r="C7" s="1">
        <f>VLOOKUP($B$5:$B$16,'PLATE COUNT-MMEAKSHI MESS'!$B$4:$F$15,2,0)</f>
        <v>3090</v>
      </c>
      <c r="D7" s="1">
        <f>VLOOKUP($B$5:$B$16,'FOOD WASTAGE-MEENAKSHI MESS'!$B$4:$F$15,2,0)</f>
        <v>126</v>
      </c>
      <c r="E7" s="13">
        <f t="shared" si="0"/>
        <v>4.0776699029126213</v>
      </c>
      <c r="F7" s="1">
        <f>VLOOKUP($B$5:$B$16,'PLATE COUNT-MMEAKSHI MESS'!$B$4:$F$15,3,0)</f>
        <v>3286</v>
      </c>
      <c r="G7" s="1">
        <f>VLOOKUP($B$5:$B$16,'FOOD WASTAGE-MEENAKSHI MESS'!$B$4:$F$15,3,0)</f>
        <v>317.5</v>
      </c>
      <c r="H7" s="13">
        <f t="shared" si="1"/>
        <v>9.6622032866707244</v>
      </c>
      <c r="I7" s="1">
        <f>VLOOKUP($B$5:$B$16,'PLATE COUNT-MMEAKSHI MESS'!$B$4:$F$15,4,0)</f>
        <v>3314</v>
      </c>
      <c r="J7" s="1">
        <f>VLOOKUP($B$5:$B$16,'FOOD WASTAGE-MEENAKSHI MESS'!$B$4:$F$15,4,0)</f>
        <v>0</v>
      </c>
      <c r="K7" s="1" t="str">
        <f t="shared" si="2"/>
        <v>0</v>
      </c>
      <c r="L7" s="1">
        <f>VLOOKUP($B$5:$B$16,'PLATE COUNT-MMEAKSHI MESS'!$B$4:$F$15,5,0)</f>
        <v>3311</v>
      </c>
      <c r="M7" s="1">
        <f>VLOOKUP($B$5:$B$16,'FOOD WASTAGE-MEENAKSHI MESS'!$B$4:$F$15,5,0)</f>
        <v>352</v>
      </c>
      <c r="N7" s="14">
        <f t="shared" si="3"/>
        <v>10.631229235880399</v>
      </c>
      <c r="P7" s="2" t="s">
        <v>6</v>
      </c>
      <c r="Q7" s="13">
        <f t="shared" si="4"/>
        <v>2.3333333333333335</v>
      </c>
      <c r="R7" s="13">
        <f t="shared" si="5"/>
        <v>5.4987212276214841</v>
      </c>
      <c r="S7" s="13" t="str">
        <f t="shared" si="6"/>
        <v>0</v>
      </c>
      <c r="T7" s="13">
        <f t="shared" si="7"/>
        <v>5.5074257425742577</v>
      </c>
      <c r="U7" s="13">
        <f t="shared" ref="U7:U17" si="8">SUM(Q7:T7)/4</f>
        <v>3.3348700758822689</v>
      </c>
    </row>
    <row r="8" spans="1:21" x14ac:dyDescent="0.3">
      <c r="A8" s="3">
        <v>4</v>
      </c>
      <c r="B8" s="2" t="s">
        <v>8</v>
      </c>
      <c r="C8" s="1">
        <f>VLOOKUP($B$5:$B$16,'PLATE COUNT-MMEAKSHI MESS'!$B$4:$F$15,2,0)</f>
        <v>1175</v>
      </c>
      <c r="D8" s="1">
        <f>VLOOKUP($B$5:$B$16,'FOOD WASTAGE-MEENAKSHI MESS'!$B$4:$F$15,2,0)</f>
        <v>83</v>
      </c>
      <c r="E8" s="13">
        <f t="shared" si="0"/>
        <v>7.0638297872340425</v>
      </c>
      <c r="F8" s="1">
        <f>VLOOKUP($B$5:$B$16,'PLATE COUNT-MMEAKSHI MESS'!$B$4:$F$15,3,0)</f>
        <v>1258</v>
      </c>
      <c r="G8" s="1">
        <f>VLOOKUP($B$5:$B$16,'FOOD WASTAGE-MEENAKSHI MESS'!$B$4:$F$15,3,0)</f>
        <v>177.5</v>
      </c>
      <c r="H8" s="13">
        <f t="shared" si="1"/>
        <v>14.109697933227345</v>
      </c>
      <c r="I8" s="1">
        <f>VLOOKUP($B$5:$B$16,'PLATE COUNT-MMEAKSHI MESS'!$B$4:$F$15,4,0)</f>
        <v>1326</v>
      </c>
      <c r="J8" s="1">
        <f>VLOOKUP($B$5:$B$16,'FOOD WASTAGE-MEENAKSHI MESS'!$B$4:$F$15,4,0)</f>
        <v>0</v>
      </c>
      <c r="K8" s="1" t="str">
        <f t="shared" si="2"/>
        <v>0</v>
      </c>
      <c r="L8" s="1">
        <f>VLOOKUP($B$5:$B$16,'PLATE COUNT-MMEAKSHI MESS'!$B$4:$F$15,5,0)</f>
        <v>1161</v>
      </c>
      <c r="M8" s="1">
        <f>VLOOKUP($B$5:$B$16,'FOOD WASTAGE-MEENAKSHI MESS'!$B$4:$F$15,5,0)</f>
        <v>145</v>
      </c>
      <c r="N8" s="14">
        <f t="shared" si="3"/>
        <v>12.489233419465979</v>
      </c>
      <c r="P8" s="2" t="s">
        <v>7</v>
      </c>
      <c r="Q8" s="13">
        <f t="shared" si="4"/>
        <v>4.0776699029126213</v>
      </c>
      <c r="R8" s="13">
        <f t="shared" si="5"/>
        <v>9.6622032866707244</v>
      </c>
      <c r="S8" s="13" t="str">
        <f t="shared" si="6"/>
        <v>0</v>
      </c>
      <c r="T8" s="13">
        <f t="shared" si="7"/>
        <v>10.631229235880399</v>
      </c>
      <c r="U8" s="13">
        <f t="shared" si="8"/>
        <v>6.0927756063659366</v>
      </c>
    </row>
    <row r="9" spans="1:21" x14ac:dyDescent="0.3">
      <c r="A9" s="3">
        <v>5</v>
      </c>
      <c r="B9" s="2" t="s">
        <v>9</v>
      </c>
      <c r="C9" s="1">
        <f>VLOOKUP($B$5:$B$16,'PLATE COUNT-MMEAKSHI MESS'!$B$4:$F$15,2,0)</f>
        <v>9722</v>
      </c>
      <c r="D9" s="1">
        <f>VLOOKUP($B$5:$B$16,'FOOD WASTAGE-MEENAKSHI MESS'!$B$4:$F$15,2,0)</f>
        <v>198.5</v>
      </c>
      <c r="E9" s="13">
        <f t="shared" si="0"/>
        <v>2.0417609545361035</v>
      </c>
      <c r="F9" s="1">
        <f>VLOOKUP($B$5:$B$16,'PLATE COUNT-MMEAKSHI MESS'!$B$4:$F$15,3,0)</f>
        <v>10815</v>
      </c>
      <c r="G9" s="1">
        <f>VLOOKUP($B$5:$B$16,'FOOD WASTAGE-MEENAKSHI MESS'!$B$4:$F$15,3,0)</f>
        <v>269.5</v>
      </c>
      <c r="H9" s="13">
        <f t="shared" si="1"/>
        <v>2.4919093851132685</v>
      </c>
      <c r="I9" s="1">
        <f>VLOOKUP($B$5:$B$16,'PLATE COUNT-MMEAKSHI MESS'!$B$4:$F$15,4,0)</f>
        <v>11822</v>
      </c>
      <c r="J9" s="1">
        <f>VLOOKUP($B$5:$B$16,'FOOD WASTAGE-MEENAKSHI MESS'!$B$4:$F$15,4,0)</f>
        <v>0</v>
      </c>
      <c r="K9" s="1" t="str">
        <f t="shared" si="2"/>
        <v>0</v>
      </c>
      <c r="L9" s="1">
        <f>VLOOKUP($B$5:$B$16,'PLATE COUNT-MMEAKSHI MESS'!$B$4:$F$15,5,0)</f>
        <v>11822</v>
      </c>
      <c r="M9" s="1">
        <f>VLOOKUP($B$5:$B$16,'FOOD WASTAGE-MEENAKSHI MESS'!$B$4:$F$15,5,0)</f>
        <v>275.5</v>
      </c>
      <c r="N9" s="14">
        <f t="shared" si="3"/>
        <v>2.330400947386229</v>
      </c>
      <c r="P9" s="2" t="s">
        <v>8</v>
      </c>
      <c r="Q9" s="13">
        <f t="shared" si="4"/>
        <v>7.0638297872340425</v>
      </c>
      <c r="R9" s="13">
        <f t="shared" si="5"/>
        <v>14.109697933227345</v>
      </c>
      <c r="S9" s="13" t="str">
        <f t="shared" si="6"/>
        <v>0</v>
      </c>
      <c r="T9" s="13">
        <f t="shared" si="7"/>
        <v>12.489233419465979</v>
      </c>
      <c r="U9" s="13">
        <f t="shared" si="8"/>
        <v>8.4156902849818422</v>
      </c>
    </row>
    <row r="10" spans="1:21" x14ac:dyDescent="0.3">
      <c r="A10" s="3">
        <v>6</v>
      </c>
      <c r="B10" s="2" t="s">
        <v>10</v>
      </c>
      <c r="C10" s="1">
        <f>VLOOKUP($B$5:$B$16,'PLATE COUNT-MMEAKSHI MESS'!$B$4:$F$15,2,0)</f>
        <v>10380</v>
      </c>
      <c r="D10" s="1">
        <f>VLOOKUP($B$5:$B$16,'FOOD WASTAGE-MEENAKSHI MESS'!$B$4:$F$15,2,0)</f>
        <v>205</v>
      </c>
      <c r="E10" s="13">
        <f t="shared" si="0"/>
        <v>1.9749518304431599</v>
      </c>
      <c r="F10" s="1">
        <f>VLOOKUP($B$5:$B$16,'PLATE COUNT-MMEAKSHI MESS'!$B$4:$F$15,3,0)</f>
        <v>12067</v>
      </c>
      <c r="G10" s="1">
        <f>VLOOKUP($B$5:$B$16,'FOOD WASTAGE-MEENAKSHI MESS'!$B$4:$F$15,3,0)</f>
        <v>297</v>
      </c>
      <c r="H10" s="13">
        <f t="shared" si="1"/>
        <v>2.461257976298997</v>
      </c>
      <c r="I10" s="1">
        <f>VLOOKUP($B$5:$B$16,'PLATE COUNT-MMEAKSHI MESS'!$B$4:$F$15,4,0)</f>
        <v>12467</v>
      </c>
      <c r="J10" s="1">
        <f>VLOOKUP($B$5:$B$16,'FOOD WASTAGE-MEENAKSHI MESS'!$B$4:$F$15,4,0)</f>
        <v>0</v>
      </c>
      <c r="K10" s="1" t="str">
        <f t="shared" si="2"/>
        <v>0</v>
      </c>
      <c r="L10" s="1">
        <f>VLOOKUP($B$5:$B$16,'PLATE COUNT-MMEAKSHI MESS'!$B$4:$F$15,5,0)</f>
        <v>12467</v>
      </c>
      <c r="M10" s="1">
        <f>VLOOKUP($B$5:$B$16,'FOOD WASTAGE-MEENAKSHI MESS'!$B$4:$F$15,5,0)</f>
        <v>341</v>
      </c>
      <c r="N10" s="14">
        <f t="shared" si="3"/>
        <v>2.7352209833961658</v>
      </c>
      <c r="P10" s="2" t="s">
        <v>9</v>
      </c>
      <c r="Q10" s="13">
        <f t="shared" si="4"/>
        <v>2.0417609545361035</v>
      </c>
      <c r="R10" s="13">
        <f t="shared" si="5"/>
        <v>2.4919093851132685</v>
      </c>
      <c r="S10" s="13" t="str">
        <f t="shared" si="6"/>
        <v>0</v>
      </c>
      <c r="T10" s="13">
        <f t="shared" si="7"/>
        <v>2.330400947386229</v>
      </c>
      <c r="U10" s="13">
        <f t="shared" si="8"/>
        <v>1.7160178217589004</v>
      </c>
    </row>
    <row r="11" spans="1:21" x14ac:dyDescent="0.3">
      <c r="A11" s="3">
        <v>7</v>
      </c>
      <c r="B11" s="2" t="s">
        <v>11</v>
      </c>
      <c r="C11" s="1">
        <f>VLOOKUP($B$5:$B$16,'PLATE COUNT-MMEAKSHI MESS'!$B$4:$F$15,2,0)</f>
        <v>9230</v>
      </c>
      <c r="D11" s="1">
        <f>VLOOKUP($B$5:$B$16,'FOOD WASTAGE-MEENAKSHI MESS'!$B$4:$F$15,2,0)</f>
        <v>183</v>
      </c>
      <c r="E11" s="13">
        <f t="shared" si="0"/>
        <v>1.9826652221018419</v>
      </c>
      <c r="F11" s="1">
        <f>VLOOKUP($B$5:$B$16,'PLATE COUNT-MMEAKSHI MESS'!$B$4:$F$15,3,0)</f>
        <v>18922</v>
      </c>
      <c r="G11" s="1">
        <f>VLOOKUP($B$5:$B$16,'FOOD WASTAGE-MEENAKSHI MESS'!$B$4:$F$15,3,0)</f>
        <v>309</v>
      </c>
      <c r="H11" s="13">
        <f t="shared" si="1"/>
        <v>1.6330197653524996</v>
      </c>
      <c r="I11" s="1">
        <f>VLOOKUP($B$5:$B$16,'PLATE COUNT-MMEAKSHI MESS'!$B$4:$F$15,4,0)</f>
        <v>12152</v>
      </c>
      <c r="J11" s="1">
        <f>VLOOKUP($B$5:$B$16,'FOOD WASTAGE-MEENAKSHI MESS'!$B$4:$F$15,4,0)</f>
        <v>0</v>
      </c>
      <c r="K11" s="1" t="str">
        <f t="shared" si="2"/>
        <v>0</v>
      </c>
      <c r="L11" s="1">
        <f>VLOOKUP($B$5:$B$16,'PLATE COUNT-MMEAKSHI MESS'!$B$4:$F$15,5,0)</f>
        <v>12142</v>
      </c>
      <c r="M11" s="1">
        <f>VLOOKUP($B$5:$B$16,'FOOD WASTAGE-MEENAKSHI MESS'!$B$4:$F$15,5,0)</f>
        <v>382</v>
      </c>
      <c r="N11" s="14">
        <f t="shared" si="3"/>
        <v>3.1461044309010049</v>
      </c>
      <c r="P11" s="2" t="s">
        <v>10</v>
      </c>
      <c r="Q11" s="13">
        <f t="shared" si="4"/>
        <v>1.9749518304431599</v>
      </c>
      <c r="R11" s="13">
        <f t="shared" si="5"/>
        <v>2.461257976298997</v>
      </c>
      <c r="S11" s="13" t="str">
        <f t="shared" si="6"/>
        <v>0</v>
      </c>
      <c r="T11" s="13">
        <f t="shared" si="7"/>
        <v>2.7352209833961658</v>
      </c>
      <c r="U11" s="13">
        <f t="shared" si="8"/>
        <v>1.7928576975345809</v>
      </c>
    </row>
    <row r="12" spans="1:21" x14ac:dyDescent="0.3">
      <c r="A12" s="3">
        <v>8</v>
      </c>
      <c r="B12" s="2" t="s">
        <v>12</v>
      </c>
      <c r="C12" s="1">
        <f>VLOOKUP($B$5:$B$16,'PLATE COUNT-MMEAKSHI MESS'!$B$4:$F$15,2,0)</f>
        <v>8170</v>
      </c>
      <c r="D12" s="1">
        <f>VLOOKUP($B$5:$B$16,'FOOD WASTAGE-MEENAKSHI MESS'!$B$4:$F$15,2,0)</f>
        <v>181</v>
      </c>
      <c r="E12" s="13">
        <f t="shared" si="0"/>
        <v>2.215422276621787</v>
      </c>
      <c r="F12" s="1">
        <f>VLOOKUP($B$5:$B$16,'PLATE COUNT-MMEAKSHI MESS'!$B$4:$F$15,3,0)</f>
        <v>11536</v>
      </c>
      <c r="G12" s="1">
        <f>VLOOKUP($B$5:$B$16,'FOOD WASTAGE-MEENAKSHI MESS'!$B$4:$F$15,3,0)</f>
        <v>376</v>
      </c>
      <c r="H12" s="13">
        <f t="shared" si="1"/>
        <v>3.2593619972260748</v>
      </c>
      <c r="I12" s="1">
        <f>VLOOKUP($B$5:$B$16,'PLATE COUNT-MMEAKSHI MESS'!$B$4:$F$15,4,0)</f>
        <v>12450</v>
      </c>
      <c r="J12" s="1">
        <f>VLOOKUP($B$5:$B$16,'FOOD WASTAGE-MEENAKSHI MESS'!$B$4:$F$15,4,0)</f>
        <v>0</v>
      </c>
      <c r="K12" s="1" t="str">
        <f t="shared" si="2"/>
        <v>0</v>
      </c>
      <c r="L12" s="1">
        <f>VLOOKUP($B$5:$B$16,'PLATE COUNT-MMEAKSHI MESS'!$B$4:$F$15,5,0)</f>
        <v>12450</v>
      </c>
      <c r="M12" s="1">
        <f>VLOOKUP($B$5:$B$16,'FOOD WASTAGE-MEENAKSHI MESS'!$B$4:$F$15,5,0)</f>
        <v>469</v>
      </c>
      <c r="N12" s="14">
        <f t="shared" si="3"/>
        <v>3.7670682730923692</v>
      </c>
      <c r="P12" s="2" t="s">
        <v>11</v>
      </c>
      <c r="Q12" s="13">
        <f t="shared" si="4"/>
        <v>1.9826652221018419</v>
      </c>
      <c r="R12" s="13">
        <f t="shared" si="5"/>
        <v>1.6330197653524996</v>
      </c>
      <c r="S12" s="13" t="str">
        <f t="shared" si="6"/>
        <v>0</v>
      </c>
      <c r="T12" s="13">
        <f t="shared" si="7"/>
        <v>3.1461044309010049</v>
      </c>
      <c r="U12" s="13">
        <f t="shared" si="8"/>
        <v>1.6904473545888365</v>
      </c>
    </row>
    <row r="13" spans="1:21" x14ac:dyDescent="0.3">
      <c r="A13" s="3">
        <v>9</v>
      </c>
      <c r="B13" s="2" t="s">
        <v>13</v>
      </c>
      <c r="C13" s="1">
        <f>VLOOKUP($B$5:$B$16,'PLATE COUNT-MMEAKSHI MESS'!$B$4:$F$15,2,0)</f>
        <v>5311</v>
      </c>
      <c r="D13" s="1">
        <f>VLOOKUP($B$5:$B$16,'FOOD WASTAGE-MEENAKSHI MESS'!$B$4:$F$15,2,0)</f>
        <v>116</v>
      </c>
      <c r="E13" s="13">
        <f t="shared" si="0"/>
        <v>2.1841461118433441</v>
      </c>
      <c r="F13" s="1">
        <f>VLOOKUP($B$5:$B$16,'PLATE COUNT-MMEAKSHI MESS'!$B$4:$F$15,3,0)</f>
        <v>6570</v>
      </c>
      <c r="G13" s="1">
        <f>VLOOKUP($B$5:$B$16,'FOOD WASTAGE-MEENAKSHI MESS'!$B$4:$F$15,3,0)</f>
        <v>241</v>
      </c>
      <c r="H13" s="13">
        <f t="shared" si="1"/>
        <v>3.6681887366818868</v>
      </c>
      <c r="I13" s="1">
        <f>VLOOKUP($B$5:$B$16,'PLATE COUNT-MMEAKSHI MESS'!$B$4:$F$15,4,0)</f>
        <v>7129</v>
      </c>
      <c r="J13" s="1">
        <f>VLOOKUP($B$5:$B$16,'FOOD WASTAGE-MEENAKSHI MESS'!$B$4:$F$15,4,0)</f>
        <v>0</v>
      </c>
      <c r="K13" s="1" t="str">
        <f t="shared" si="2"/>
        <v>0</v>
      </c>
      <c r="L13" s="1">
        <f>VLOOKUP($B$5:$B$16,'PLATE COUNT-MMEAKSHI MESS'!$B$4:$F$15,5,0)</f>
        <v>7162</v>
      </c>
      <c r="M13" s="1">
        <f>VLOOKUP($B$5:$B$16,'FOOD WASTAGE-MEENAKSHI MESS'!$B$4:$F$15,5,0)</f>
        <v>301</v>
      </c>
      <c r="N13" s="14">
        <f t="shared" si="3"/>
        <v>4.202736665735828</v>
      </c>
      <c r="P13" s="2" t="s">
        <v>12</v>
      </c>
      <c r="Q13" s="13">
        <f t="shared" si="4"/>
        <v>2.215422276621787</v>
      </c>
      <c r="R13" s="13">
        <f t="shared" si="5"/>
        <v>3.2593619972260748</v>
      </c>
      <c r="S13" s="13" t="str">
        <f t="shared" si="6"/>
        <v>0</v>
      </c>
      <c r="T13" s="13">
        <f t="shared" si="7"/>
        <v>3.7670682730923692</v>
      </c>
      <c r="U13" s="13">
        <f t="shared" si="8"/>
        <v>2.3104631367350574</v>
      </c>
    </row>
    <row r="14" spans="1:21" x14ac:dyDescent="0.3">
      <c r="A14" s="3">
        <v>10</v>
      </c>
      <c r="B14" s="2" t="s">
        <v>14</v>
      </c>
      <c r="C14" s="1">
        <f>VLOOKUP($B$5:$B$16,'PLATE COUNT-MMEAKSHI MESS'!$B$4:$F$15,2,0)</f>
        <v>6037</v>
      </c>
      <c r="D14" s="1">
        <f>VLOOKUP($B$5:$B$16,'FOOD WASTAGE-MEENAKSHI MESS'!$B$4:$F$15,2,0)</f>
        <v>135</v>
      </c>
      <c r="E14" s="13">
        <f t="shared" si="0"/>
        <v>2.2362100380983931</v>
      </c>
      <c r="F14" s="1">
        <f>VLOOKUP($B$5:$B$16,'PLATE COUNT-MMEAKSHI MESS'!$B$4:$F$15,3,0)</f>
        <v>10480</v>
      </c>
      <c r="G14" s="1">
        <f>VLOOKUP($B$5:$B$16,'FOOD WASTAGE-MEENAKSHI MESS'!$B$4:$F$15,3,0)</f>
        <v>245</v>
      </c>
      <c r="H14" s="13">
        <f t="shared" si="1"/>
        <v>2.3377862595419847</v>
      </c>
      <c r="I14" s="1">
        <f>VLOOKUP($B$5:$B$16,'PLATE COUNT-MMEAKSHI MESS'!$B$4:$F$15,4,0)</f>
        <v>8330</v>
      </c>
      <c r="J14" s="1">
        <f>VLOOKUP($B$5:$B$16,'FOOD WASTAGE-MEENAKSHI MESS'!$B$4:$F$15,4,0)</f>
        <v>0</v>
      </c>
      <c r="K14" s="1" t="str">
        <f t="shared" si="2"/>
        <v>0</v>
      </c>
      <c r="L14" s="1">
        <f>VLOOKUP($B$5:$B$16,'PLATE COUNT-MMEAKSHI MESS'!$B$4:$F$15,5,0)</f>
        <v>8360</v>
      </c>
      <c r="M14" s="1">
        <f>VLOOKUP($B$5:$B$16,'FOOD WASTAGE-MEENAKSHI MESS'!$B$4:$F$15,5,0)</f>
        <v>299</v>
      </c>
      <c r="N14" s="14">
        <f t="shared" si="3"/>
        <v>3.5765550239234454</v>
      </c>
      <c r="P14" s="2" t="s">
        <v>13</v>
      </c>
      <c r="Q14" s="13">
        <f t="shared" si="4"/>
        <v>2.1841461118433441</v>
      </c>
      <c r="R14" s="13">
        <f t="shared" si="5"/>
        <v>3.6681887366818868</v>
      </c>
      <c r="S14" s="13" t="str">
        <f t="shared" si="6"/>
        <v>0</v>
      </c>
      <c r="T14" s="13">
        <f t="shared" si="7"/>
        <v>4.202736665735828</v>
      </c>
      <c r="U14" s="13">
        <f t="shared" si="8"/>
        <v>2.5137678785652646</v>
      </c>
    </row>
    <row r="15" spans="1:21" x14ac:dyDescent="0.3">
      <c r="A15" s="3">
        <v>11</v>
      </c>
      <c r="B15" s="2" t="s">
        <v>15</v>
      </c>
      <c r="C15" s="1">
        <f>VLOOKUP($B$5:$B$16,'PLATE COUNT-MMEAKSHI MESS'!$B$4:$F$15,2,0)</f>
        <v>8028</v>
      </c>
      <c r="D15" s="1">
        <f>VLOOKUP($B$5:$B$16,'FOOD WASTAGE-MEENAKSHI MESS'!$B$4:$F$15,2,0)</f>
        <v>167</v>
      </c>
      <c r="E15" s="13">
        <f t="shared" si="0"/>
        <v>2.0802192326856006</v>
      </c>
      <c r="F15" s="1">
        <f>VLOOKUP($B$5:$B$16,'PLATE COUNT-MMEAKSHI MESS'!$B$4:$F$15,3,0)</f>
        <v>11052</v>
      </c>
      <c r="G15" s="1">
        <f>VLOOKUP($B$5:$B$16,'FOOD WASTAGE-MEENAKSHI MESS'!$B$4:$F$15,3,0)</f>
        <v>444</v>
      </c>
      <c r="H15" s="13">
        <f t="shared" si="1"/>
        <v>4.0173724212812161</v>
      </c>
      <c r="I15" s="1">
        <f>VLOOKUP($B$5:$B$16,'PLATE COUNT-MMEAKSHI MESS'!$B$4:$F$15,4,0)</f>
        <v>11849</v>
      </c>
      <c r="J15" s="1">
        <f>VLOOKUP($B$5:$B$16,'FOOD WASTAGE-MEENAKSHI MESS'!$B$4:$F$15,4,0)</f>
        <v>0</v>
      </c>
      <c r="K15" s="1" t="str">
        <f t="shared" si="2"/>
        <v>0</v>
      </c>
      <c r="L15" s="1">
        <f>VLOOKUP($B$5:$B$16,'PLATE COUNT-MMEAKSHI MESS'!$B$4:$F$15,5,0)</f>
        <v>11879</v>
      </c>
      <c r="M15" s="1">
        <f>VLOOKUP($B$5:$B$16,'FOOD WASTAGE-MEENAKSHI MESS'!$B$4:$F$15,5,0)</f>
        <v>491</v>
      </c>
      <c r="N15" s="14">
        <f t="shared" si="3"/>
        <v>4.1333445576226957</v>
      </c>
      <c r="P15" s="2" t="s">
        <v>14</v>
      </c>
      <c r="Q15" s="13">
        <f t="shared" si="4"/>
        <v>2.2362100380983931</v>
      </c>
      <c r="R15" s="13">
        <f t="shared" si="5"/>
        <v>2.3377862595419847</v>
      </c>
      <c r="S15" s="13" t="str">
        <f t="shared" si="6"/>
        <v>0</v>
      </c>
      <c r="T15" s="13">
        <f t="shared" si="7"/>
        <v>3.5765550239234454</v>
      </c>
      <c r="U15" s="13">
        <f t="shared" si="8"/>
        <v>2.0376378303909557</v>
      </c>
    </row>
    <row r="16" spans="1:21" x14ac:dyDescent="0.3">
      <c r="A16" s="3">
        <v>12</v>
      </c>
      <c r="B16" s="2" t="s">
        <v>27</v>
      </c>
      <c r="C16" s="1">
        <f>VLOOKUP($B$5:$B$16,'PLATE COUNT-MMEAKSHI MESS'!$B$4:$F$15,2,0)</f>
        <v>8205</v>
      </c>
      <c r="D16" s="1">
        <f>VLOOKUP($B$5:$B$16,'FOOD WASTAGE-MEENAKSHI MESS'!$B$4:$F$15,2,0)</f>
        <v>133</v>
      </c>
      <c r="E16" s="13">
        <f t="shared" si="0"/>
        <v>1.6209628275441805</v>
      </c>
      <c r="F16" s="1">
        <f>VLOOKUP($B$5:$B$16,'PLATE COUNT-MMEAKSHI MESS'!$B$4:$F$15,3,0)</f>
        <v>11050</v>
      </c>
      <c r="G16" s="1">
        <f>VLOOKUP($B$5:$B$16,'FOOD WASTAGE-MEENAKSHI MESS'!$B$4:$F$15,3,0)</f>
        <v>541</v>
      </c>
      <c r="H16" s="13">
        <f t="shared" si="1"/>
        <v>4.8959276018099542</v>
      </c>
      <c r="I16" s="1">
        <f>VLOOKUP($B$5:$B$16,'PLATE COUNT-MMEAKSHI MESS'!$B$4:$F$15,4,0)</f>
        <v>11915</v>
      </c>
      <c r="J16" s="1">
        <f>VLOOKUP($B$5:$B$16,'FOOD WASTAGE-MEENAKSHI MESS'!$B$4:$F$15,4,0)</f>
        <v>0</v>
      </c>
      <c r="K16" s="1" t="str">
        <f t="shared" si="2"/>
        <v>0</v>
      </c>
      <c r="L16" s="1">
        <f>VLOOKUP($B$5:$B$16,'PLATE COUNT-MMEAKSHI MESS'!$B$4:$F$15,5,0)</f>
        <v>11915</v>
      </c>
      <c r="M16" s="1">
        <f>VLOOKUP($B$5:$B$16,'FOOD WASTAGE-MEENAKSHI MESS'!$B$4:$F$15,5,0)</f>
        <v>638</v>
      </c>
      <c r="N16" s="14">
        <f t="shared" si="3"/>
        <v>5.3545950482584974</v>
      </c>
      <c r="P16" s="2" t="s">
        <v>15</v>
      </c>
      <c r="Q16" s="13">
        <f t="shared" si="4"/>
        <v>2.0802192326856006</v>
      </c>
      <c r="R16" s="13">
        <f t="shared" si="5"/>
        <v>4.0173724212812161</v>
      </c>
      <c r="S16" s="13" t="str">
        <f t="shared" si="6"/>
        <v>0</v>
      </c>
      <c r="T16" s="13">
        <f t="shared" si="7"/>
        <v>4.1333445576226957</v>
      </c>
      <c r="U16" s="13">
        <f t="shared" si="8"/>
        <v>2.557734052897378</v>
      </c>
    </row>
    <row r="17" spans="1:21" x14ac:dyDescent="0.3">
      <c r="A17" s="12"/>
      <c r="B17" s="8" t="s">
        <v>16</v>
      </c>
      <c r="C17" s="15">
        <f>SUBTOTAL(9,C4:C16)</f>
        <v>80098</v>
      </c>
      <c r="D17" s="15">
        <f t="shared" ref="D17:N17" si="9">SUBTOTAL(9,D4:D16)</f>
        <v>1760.5</v>
      </c>
      <c r="E17" s="15">
        <f t="shared" si="9"/>
        <v>31.828870632398655</v>
      </c>
      <c r="F17" s="15">
        <f t="shared" si="9"/>
        <v>111050</v>
      </c>
      <c r="G17" s="15">
        <f t="shared" si="9"/>
        <v>3992.5</v>
      </c>
      <c r="H17" s="15">
        <f t="shared" si="9"/>
        <v>59.597373196330011</v>
      </c>
      <c r="I17" s="15">
        <f t="shared" si="9"/>
        <v>107304</v>
      </c>
      <c r="J17" s="15">
        <f t="shared" si="9"/>
        <v>0</v>
      </c>
      <c r="K17" s="15">
        <f t="shared" si="9"/>
        <v>0</v>
      </c>
      <c r="L17" s="15">
        <f t="shared" si="9"/>
        <v>107127</v>
      </c>
      <c r="M17" s="15">
        <f t="shared" si="9"/>
        <v>4487</v>
      </c>
      <c r="N17" s="15">
        <f t="shared" si="9"/>
        <v>63.342881764919319</v>
      </c>
      <c r="P17" s="2" t="s">
        <v>27</v>
      </c>
      <c r="Q17" s="13">
        <f t="shared" si="4"/>
        <v>1.6209628275441805</v>
      </c>
      <c r="R17" s="13">
        <f t="shared" si="5"/>
        <v>4.8959276018099542</v>
      </c>
      <c r="S17" s="13" t="str">
        <f t="shared" si="6"/>
        <v>0</v>
      </c>
      <c r="T17" s="13">
        <f t="shared" si="7"/>
        <v>5.3545950482584974</v>
      </c>
      <c r="U17" s="13">
        <f t="shared" si="8"/>
        <v>2.967871369403158</v>
      </c>
    </row>
    <row r="18" spans="1:21" x14ac:dyDescent="0.3">
      <c r="Q18" s="16"/>
    </row>
    <row r="19" spans="1:21" ht="187.2" x14ac:dyDescent="0.3">
      <c r="R19" s="17" t="s">
        <v>63</v>
      </c>
      <c r="S19" s="17"/>
      <c r="T19" s="17"/>
      <c r="U19" s="18">
        <f>SUM(U6:U17)/(12)</f>
        <v>3.2243567832009994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4.4" x14ac:dyDescent="0.3"/>
  <sheetData>
    <row r="1" spans="1:7" x14ac:dyDescent="0.3">
      <c r="A1" s="48" t="s">
        <v>69</v>
      </c>
      <c r="B1" s="49"/>
      <c r="C1" s="49"/>
      <c r="D1" s="49"/>
      <c r="E1" s="49"/>
      <c r="F1" s="49"/>
      <c r="G1" s="50"/>
    </row>
    <row r="2" spans="1:7" x14ac:dyDescent="0.3">
      <c r="A2" s="7" t="s">
        <v>33</v>
      </c>
      <c r="B2" s="19"/>
      <c r="C2" s="19"/>
      <c r="D2" s="19"/>
      <c r="E2" s="19"/>
      <c r="F2" s="19"/>
      <c r="G2" s="22"/>
    </row>
    <row r="3" spans="1:7" ht="57.6" x14ac:dyDescent="0.3">
      <c r="A3" s="7" t="s">
        <v>4</v>
      </c>
      <c r="B3" s="6" t="s">
        <v>0</v>
      </c>
      <c r="C3" s="6" t="s">
        <v>25</v>
      </c>
      <c r="D3" s="6" t="s">
        <v>1</v>
      </c>
      <c r="E3" s="6" t="s">
        <v>68</v>
      </c>
      <c r="F3" s="6" t="s">
        <v>3</v>
      </c>
      <c r="G3" s="6" t="s">
        <v>26</v>
      </c>
    </row>
    <row r="4" spans="1:7" x14ac:dyDescent="0.3">
      <c r="A4" s="3">
        <v>1</v>
      </c>
      <c r="B4" s="2" t="s">
        <v>5</v>
      </c>
      <c r="C4" s="1">
        <v>716</v>
      </c>
      <c r="D4" s="1">
        <v>1499</v>
      </c>
      <c r="E4" s="1">
        <v>0</v>
      </c>
      <c r="F4" s="1">
        <v>521</v>
      </c>
      <c r="G4" s="4">
        <f>SUM(C4:F4)</f>
        <v>2736</v>
      </c>
    </row>
    <row r="5" spans="1:7" x14ac:dyDescent="0.3">
      <c r="A5" s="3">
        <v>2</v>
      </c>
      <c r="B5" s="2" t="s">
        <v>6</v>
      </c>
      <c r="C5" s="1">
        <v>729</v>
      </c>
      <c r="D5" s="1">
        <v>1567</v>
      </c>
      <c r="E5" s="1">
        <v>0</v>
      </c>
      <c r="F5" s="1">
        <v>590</v>
      </c>
      <c r="G5" s="4">
        <f t="shared" ref="G5:G15" si="0">SUM(C5:F5)</f>
        <v>2886</v>
      </c>
    </row>
    <row r="6" spans="1:7" x14ac:dyDescent="0.3">
      <c r="A6" s="3">
        <v>3</v>
      </c>
      <c r="B6" s="2" t="s">
        <v>7</v>
      </c>
      <c r="C6" s="1">
        <v>902</v>
      </c>
      <c r="D6" s="1">
        <v>1630</v>
      </c>
      <c r="E6" s="1">
        <v>0</v>
      </c>
      <c r="F6" s="1">
        <v>714</v>
      </c>
      <c r="G6" s="4">
        <f t="shared" si="0"/>
        <v>3246</v>
      </c>
    </row>
    <row r="7" spans="1:7" x14ac:dyDescent="0.3">
      <c r="A7" s="3">
        <v>4</v>
      </c>
      <c r="B7" s="2" t="s">
        <v>8</v>
      </c>
      <c r="C7" s="1">
        <v>1064</v>
      </c>
      <c r="D7" s="1">
        <v>1694</v>
      </c>
      <c r="E7" s="1">
        <v>0</v>
      </c>
      <c r="F7" s="1">
        <v>812</v>
      </c>
      <c r="G7" s="4">
        <f t="shared" si="0"/>
        <v>3570</v>
      </c>
    </row>
    <row r="8" spans="1:7" x14ac:dyDescent="0.3">
      <c r="A8" s="3">
        <v>5</v>
      </c>
      <c r="B8" s="2" t="s">
        <v>9</v>
      </c>
      <c r="C8" s="1">
        <v>983</v>
      </c>
      <c r="D8" s="1">
        <v>1706</v>
      </c>
      <c r="E8" s="1">
        <v>0</v>
      </c>
      <c r="F8" s="1">
        <v>809</v>
      </c>
      <c r="G8" s="4">
        <f t="shared" si="0"/>
        <v>3498</v>
      </c>
    </row>
    <row r="9" spans="1:7" x14ac:dyDescent="0.3">
      <c r="A9" s="3">
        <v>6</v>
      </c>
      <c r="B9" s="2" t="s">
        <v>10</v>
      </c>
      <c r="C9" s="1">
        <v>697</v>
      </c>
      <c r="D9" s="1">
        <v>1443</v>
      </c>
      <c r="E9" s="1">
        <v>0</v>
      </c>
      <c r="F9" s="1">
        <v>683</v>
      </c>
      <c r="G9" s="4">
        <f t="shared" si="0"/>
        <v>2823</v>
      </c>
    </row>
    <row r="10" spans="1:7" x14ac:dyDescent="0.3">
      <c r="A10" s="3">
        <v>7</v>
      </c>
      <c r="B10" s="2" t="s">
        <v>11</v>
      </c>
      <c r="C10" s="1">
        <v>744</v>
      </c>
      <c r="D10" s="1">
        <v>1644</v>
      </c>
      <c r="E10" s="1">
        <v>0</v>
      </c>
      <c r="F10" s="1">
        <v>675</v>
      </c>
      <c r="G10" s="4">
        <f t="shared" si="0"/>
        <v>3063</v>
      </c>
    </row>
    <row r="11" spans="1:7" x14ac:dyDescent="0.3">
      <c r="A11" s="3">
        <v>8</v>
      </c>
      <c r="B11" s="2" t="s">
        <v>12</v>
      </c>
      <c r="C11" s="1">
        <v>713</v>
      </c>
      <c r="D11" s="1">
        <v>1525</v>
      </c>
      <c r="E11" s="1">
        <v>0</v>
      </c>
      <c r="F11" s="1">
        <v>647</v>
      </c>
      <c r="G11" s="4">
        <f t="shared" si="0"/>
        <v>2885</v>
      </c>
    </row>
    <row r="12" spans="1:7" x14ac:dyDescent="0.3">
      <c r="A12" s="3">
        <v>9</v>
      </c>
      <c r="B12" s="2" t="s">
        <v>13</v>
      </c>
      <c r="C12" s="1">
        <v>762</v>
      </c>
      <c r="D12" s="1">
        <v>1474</v>
      </c>
      <c r="E12" s="1">
        <v>0</v>
      </c>
      <c r="F12" s="1">
        <v>566</v>
      </c>
      <c r="G12" s="4">
        <f t="shared" si="0"/>
        <v>2802</v>
      </c>
    </row>
    <row r="13" spans="1:7" x14ac:dyDescent="0.3">
      <c r="A13" s="3">
        <v>10</v>
      </c>
      <c r="B13" s="2" t="s">
        <v>14</v>
      </c>
      <c r="C13" s="1">
        <v>679</v>
      </c>
      <c r="D13" s="1">
        <v>1287</v>
      </c>
      <c r="E13" s="1">
        <v>0</v>
      </c>
      <c r="F13" s="1">
        <v>575</v>
      </c>
      <c r="G13" s="4">
        <f t="shared" si="0"/>
        <v>2541</v>
      </c>
    </row>
    <row r="14" spans="1:7" x14ac:dyDescent="0.3">
      <c r="A14" s="3">
        <v>11</v>
      </c>
      <c r="B14" s="2" t="s">
        <v>15</v>
      </c>
      <c r="C14" s="1">
        <v>702</v>
      </c>
      <c r="D14" s="1">
        <v>1233</v>
      </c>
      <c r="E14" s="1">
        <v>0</v>
      </c>
      <c r="F14" s="1">
        <v>470</v>
      </c>
      <c r="G14" s="4">
        <f t="shared" si="0"/>
        <v>2405</v>
      </c>
    </row>
    <row r="15" spans="1:7" x14ac:dyDescent="0.3">
      <c r="A15" s="3">
        <v>12</v>
      </c>
      <c r="B15" s="2" t="s">
        <v>27</v>
      </c>
      <c r="C15" s="1">
        <v>691</v>
      </c>
      <c r="D15" s="1">
        <v>1225</v>
      </c>
      <c r="E15" s="1">
        <v>0</v>
      </c>
      <c r="F15" s="1">
        <v>473</v>
      </c>
      <c r="G15" s="4">
        <f t="shared" si="0"/>
        <v>2389</v>
      </c>
    </row>
    <row r="16" spans="1:7" x14ac:dyDescent="0.3">
      <c r="A16" s="5"/>
      <c r="B16" s="8" t="s">
        <v>16</v>
      </c>
      <c r="C16" s="9">
        <f>SUBTOTAL(9,C4:C15)</f>
        <v>9382</v>
      </c>
      <c r="D16" s="9">
        <f t="shared" ref="D16:G16" si="1">SUBTOTAL(9,D4:D15)</f>
        <v>17927</v>
      </c>
      <c r="E16" s="9">
        <f t="shared" si="1"/>
        <v>0</v>
      </c>
      <c r="F16" s="9">
        <f t="shared" si="1"/>
        <v>7535</v>
      </c>
      <c r="G16" s="10">
        <f t="shared" si="1"/>
        <v>34844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4.4" x14ac:dyDescent="0.3"/>
  <sheetData>
    <row r="1" spans="1:7" x14ac:dyDescent="0.3">
      <c r="A1" s="19" t="s">
        <v>70</v>
      </c>
      <c r="B1" s="19"/>
      <c r="C1" s="19"/>
      <c r="D1" s="19"/>
      <c r="E1" s="19"/>
      <c r="F1" s="19"/>
      <c r="G1" s="19"/>
    </row>
    <row r="2" spans="1:7" x14ac:dyDescent="0.3">
      <c r="A2" s="19" t="s">
        <v>55</v>
      </c>
      <c r="B2" s="19"/>
      <c r="C2" s="19"/>
      <c r="D2" s="19"/>
      <c r="E2" s="19"/>
      <c r="F2" s="19"/>
      <c r="G2" s="19"/>
    </row>
    <row r="3" spans="1:7" ht="43.2" x14ac:dyDescent="0.3">
      <c r="A3" s="19" t="s">
        <v>4</v>
      </c>
      <c r="B3" s="17" t="s">
        <v>25</v>
      </c>
      <c r="C3" s="17" t="s">
        <v>25</v>
      </c>
      <c r="D3" s="17" t="s">
        <v>1</v>
      </c>
      <c r="E3" s="6" t="s">
        <v>68</v>
      </c>
      <c r="F3" s="17" t="s">
        <v>3</v>
      </c>
      <c r="G3" s="17" t="s">
        <v>44</v>
      </c>
    </row>
    <row r="4" spans="1:7" x14ac:dyDescent="0.3">
      <c r="A4" s="1">
        <v>1</v>
      </c>
      <c r="B4" s="2" t="s">
        <v>5</v>
      </c>
      <c r="C4" s="1">
        <v>12528</v>
      </c>
      <c r="D4" s="1">
        <v>17466</v>
      </c>
      <c r="E4" s="1">
        <v>7781</v>
      </c>
      <c r="F4" s="1">
        <v>7044</v>
      </c>
      <c r="G4" s="1">
        <f>SUM(C4:F4)</f>
        <v>44819</v>
      </c>
    </row>
    <row r="5" spans="1:7" x14ac:dyDescent="0.3">
      <c r="A5" s="1">
        <v>2</v>
      </c>
      <c r="B5" s="2" t="s">
        <v>6</v>
      </c>
      <c r="C5" s="1">
        <v>13951</v>
      </c>
      <c r="D5" s="1">
        <v>22240</v>
      </c>
      <c r="E5" s="1">
        <v>9990</v>
      </c>
      <c r="F5" s="1">
        <v>9990</v>
      </c>
      <c r="G5" s="1">
        <f t="shared" ref="G5:G15" si="0">SUM(C5:F5)</f>
        <v>56171</v>
      </c>
    </row>
    <row r="6" spans="1:7" x14ac:dyDescent="0.3">
      <c r="A6" s="1">
        <v>3</v>
      </c>
      <c r="B6" s="2" t="s">
        <v>7</v>
      </c>
      <c r="C6" s="1">
        <v>18063</v>
      </c>
      <c r="D6" s="1">
        <v>23297</v>
      </c>
      <c r="E6" s="1">
        <v>12504</v>
      </c>
      <c r="F6" s="1">
        <v>12539</v>
      </c>
      <c r="G6" s="1">
        <f t="shared" si="0"/>
        <v>66403</v>
      </c>
    </row>
    <row r="7" spans="1:7" x14ac:dyDescent="0.3">
      <c r="A7" s="1">
        <v>4</v>
      </c>
      <c r="B7" s="2" t="s">
        <v>8</v>
      </c>
      <c r="C7" s="1">
        <v>24139</v>
      </c>
      <c r="D7" s="1">
        <v>27619</v>
      </c>
      <c r="E7" s="1">
        <v>18746</v>
      </c>
      <c r="F7" s="1">
        <v>18746</v>
      </c>
      <c r="G7" s="1">
        <f t="shared" si="0"/>
        <v>89250</v>
      </c>
    </row>
    <row r="8" spans="1:7" x14ac:dyDescent="0.3">
      <c r="A8" s="1">
        <v>5</v>
      </c>
      <c r="B8" s="2" t="s">
        <v>9</v>
      </c>
      <c r="C8" s="1">
        <v>24507</v>
      </c>
      <c r="D8" s="1">
        <v>26746</v>
      </c>
      <c r="E8" s="1">
        <v>19371</v>
      </c>
      <c r="F8" s="1">
        <v>19514</v>
      </c>
      <c r="G8" s="1">
        <f t="shared" si="0"/>
        <v>90138</v>
      </c>
    </row>
    <row r="9" spans="1:7" x14ac:dyDescent="0.3">
      <c r="A9" s="1">
        <v>6</v>
      </c>
      <c r="B9" s="2" t="s">
        <v>10</v>
      </c>
      <c r="C9" s="1">
        <v>23272</v>
      </c>
      <c r="D9" s="1">
        <v>22932</v>
      </c>
      <c r="E9" s="1">
        <v>16988</v>
      </c>
      <c r="F9" s="1">
        <v>16988</v>
      </c>
      <c r="G9" s="1">
        <f t="shared" si="0"/>
        <v>80180</v>
      </c>
    </row>
    <row r="10" spans="1:7" x14ac:dyDescent="0.3">
      <c r="A10" s="1">
        <v>7</v>
      </c>
      <c r="B10" s="2" t="s">
        <v>11</v>
      </c>
      <c r="C10" s="1">
        <v>22343</v>
      </c>
      <c r="D10" s="1">
        <v>27087</v>
      </c>
      <c r="E10" s="1">
        <v>13532</v>
      </c>
      <c r="F10" s="1">
        <v>13532</v>
      </c>
      <c r="G10" s="1">
        <f t="shared" si="0"/>
        <v>76494</v>
      </c>
    </row>
    <row r="11" spans="1:7" x14ac:dyDescent="0.3">
      <c r="A11" s="1">
        <v>8</v>
      </c>
      <c r="B11" s="2" t="s">
        <v>12</v>
      </c>
      <c r="C11" s="1">
        <v>20244</v>
      </c>
      <c r="D11" s="1">
        <v>21583</v>
      </c>
      <c r="E11" s="1">
        <v>10143</v>
      </c>
      <c r="F11" s="1">
        <v>10143</v>
      </c>
      <c r="G11" s="1">
        <f t="shared" si="0"/>
        <v>62113</v>
      </c>
    </row>
    <row r="12" spans="1:7" x14ac:dyDescent="0.3">
      <c r="A12" s="1">
        <v>9</v>
      </c>
      <c r="B12" s="2" t="s">
        <v>13</v>
      </c>
      <c r="C12" s="1">
        <v>20462</v>
      </c>
      <c r="D12" s="1">
        <v>21808</v>
      </c>
      <c r="E12" s="1">
        <v>8604</v>
      </c>
      <c r="F12" s="1">
        <v>8604</v>
      </c>
      <c r="G12" s="1">
        <f t="shared" si="0"/>
        <v>59478</v>
      </c>
    </row>
    <row r="13" spans="1:7" x14ac:dyDescent="0.3">
      <c r="A13" s="1">
        <v>10</v>
      </c>
      <c r="B13" s="2" t="s">
        <v>14</v>
      </c>
      <c r="C13" s="1">
        <v>21647</v>
      </c>
      <c r="D13" s="1">
        <v>21145</v>
      </c>
      <c r="E13" s="1">
        <v>8859</v>
      </c>
      <c r="F13" s="1">
        <v>8689</v>
      </c>
      <c r="G13" s="1">
        <f t="shared" si="0"/>
        <v>60340</v>
      </c>
    </row>
    <row r="14" spans="1:7" x14ac:dyDescent="0.3">
      <c r="A14" s="1">
        <v>11</v>
      </c>
      <c r="B14" s="2" t="s">
        <v>15</v>
      </c>
      <c r="C14" s="1">
        <v>20814</v>
      </c>
      <c r="D14" s="1">
        <v>21988</v>
      </c>
      <c r="E14" s="1">
        <v>6774</v>
      </c>
      <c r="F14" s="1">
        <v>6777</v>
      </c>
      <c r="G14" s="1">
        <f t="shared" si="0"/>
        <v>56353</v>
      </c>
    </row>
    <row r="15" spans="1:7" x14ac:dyDescent="0.3">
      <c r="A15" s="1">
        <v>12</v>
      </c>
      <c r="B15" s="2" t="s">
        <v>27</v>
      </c>
      <c r="C15" s="1">
        <v>21427</v>
      </c>
      <c r="D15" s="1">
        <v>22148</v>
      </c>
      <c r="E15" s="1">
        <v>7053</v>
      </c>
      <c r="F15" s="1">
        <v>7053</v>
      </c>
      <c r="G15" s="1">
        <f t="shared" si="0"/>
        <v>57681</v>
      </c>
    </row>
    <row r="16" spans="1:7" x14ac:dyDescent="0.3">
      <c r="A16" s="2"/>
      <c r="B16" s="19" t="s">
        <v>16</v>
      </c>
      <c r="C16" s="19">
        <f>SUBTOTAL(9,C4:C15)</f>
        <v>243397</v>
      </c>
      <c r="D16" s="19">
        <f t="shared" ref="D16:G16" si="1">SUBTOTAL(9,D4:D15)</f>
        <v>276059</v>
      </c>
      <c r="E16" s="19">
        <f t="shared" si="1"/>
        <v>140345</v>
      </c>
      <c r="F16" s="19">
        <f t="shared" si="1"/>
        <v>139619</v>
      </c>
      <c r="G16" s="19">
        <f t="shared" si="1"/>
        <v>799420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19"/>
  <sheetViews>
    <sheetView workbookViewId="0"/>
  </sheetViews>
  <sheetFormatPr defaultRowHeight="14.4" x14ac:dyDescent="0.3"/>
  <sheetData>
    <row r="1" spans="1:21" x14ac:dyDescent="0.3">
      <c r="A1" s="48" t="s">
        <v>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</row>
    <row r="2" spans="1:21" x14ac:dyDescent="0.3">
      <c r="A2" s="7" t="s">
        <v>64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2"/>
    </row>
    <row r="3" spans="1:21" ht="72" x14ac:dyDescent="0.3">
      <c r="A3" s="51" t="s">
        <v>60</v>
      </c>
      <c r="B3" s="52"/>
      <c r="C3" s="19" t="s">
        <v>36</v>
      </c>
      <c r="D3" s="17" t="s">
        <v>37</v>
      </c>
      <c r="E3" s="17" t="s">
        <v>39</v>
      </c>
      <c r="F3" s="17" t="s">
        <v>36</v>
      </c>
      <c r="G3" s="17" t="s">
        <v>37</v>
      </c>
      <c r="H3" s="17" t="s">
        <v>39</v>
      </c>
      <c r="I3" s="19" t="s">
        <v>36</v>
      </c>
      <c r="J3" s="17" t="s">
        <v>37</v>
      </c>
      <c r="K3" s="17" t="s">
        <v>39</v>
      </c>
      <c r="L3" s="19" t="s">
        <v>36</v>
      </c>
      <c r="M3" s="17" t="s">
        <v>37</v>
      </c>
      <c r="N3" s="21" t="s">
        <v>39</v>
      </c>
      <c r="P3" s="19" t="s">
        <v>17</v>
      </c>
      <c r="Q3" s="19"/>
      <c r="R3" s="19"/>
      <c r="S3" s="19"/>
      <c r="T3" s="19"/>
      <c r="U3" s="19"/>
    </row>
    <row r="4" spans="1:21" ht="28.8" x14ac:dyDescent="0.3">
      <c r="A4" s="7" t="s">
        <v>4</v>
      </c>
      <c r="B4" s="19" t="s">
        <v>0</v>
      </c>
      <c r="C4" s="19" t="s">
        <v>25</v>
      </c>
      <c r="D4" s="19" t="s">
        <v>25</v>
      </c>
      <c r="E4" s="19" t="s">
        <v>25</v>
      </c>
      <c r="F4" s="19" t="s">
        <v>1</v>
      </c>
      <c r="G4" s="19" t="s">
        <v>1</v>
      </c>
      <c r="H4" s="19" t="s">
        <v>1</v>
      </c>
      <c r="I4" s="6" t="s">
        <v>68</v>
      </c>
      <c r="J4" s="6" t="s">
        <v>68</v>
      </c>
      <c r="K4" s="6" t="s">
        <v>68</v>
      </c>
      <c r="L4" s="19" t="s">
        <v>3</v>
      </c>
      <c r="M4" s="19" t="s">
        <v>3</v>
      </c>
      <c r="N4" s="22" t="s">
        <v>3</v>
      </c>
      <c r="P4" s="19" t="s">
        <v>65</v>
      </c>
      <c r="Q4" s="19"/>
      <c r="R4" s="19"/>
      <c r="S4" s="19"/>
      <c r="T4" s="19"/>
      <c r="U4" s="19"/>
    </row>
    <row r="5" spans="1:21" ht="57.6" x14ac:dyDescent="0.3">
      <c r="A5" s="3">
        <v>1</v>
      </c>
      <c r="B5" s="2" t="s">
        <v>5</v>
      </c>
      <c r="C5" s="1">
        <f>VLOOKUP($B$5:$B$16,'PLATE COUNT-STAFF MESS'!$B$4:$F$15,2,0)</f>
        <v>12528</v>
      </c>
      <c r="D5" s="1">
        <f>VLOOKUP($B$5:$B$16,'FOOD WASTAGE-STAFF MESS'!$B$4:$F$15,2,0)</f>
        <v>716</v>
      </c>
      <c r="E5" s="13">
        <f>IFERROR(SUM(D5/C5*100),"0")</f>
        <v>5.715197956577267</v>
      </c>
      <c r="F5" s="1">
        <f>VLOOKUP($B$5:$B$16,'PLATE COUNT-STAFF MESS'!$B$4:$F$15,3,0)</f>
        <v>17466</v>
      </c>
      <c r="G5" s="1">
        <f>VLOOKUP($B$5:$B$16,'FOOD WASTAGE-STAFF MESS'!$B$4:$F$15,3,0)</f>
        <v>1499</v>
      </c>
      <c r="H5" s="13">
        <f>IFERROR(SUM(G5/F5*100),"0")</f>
        <v>8.5823886407878156</v>
      </c>
      <c r="I5" s="1">
        <f>VLOOKUP($B$5:$B$16,'PLATE COUNT-STAFF MESS'!$B$4:$F$15,4,0)</f>
        <v>7781</v>
      </c>
      <c r="J5" s="1">
        <f>VLOOKUP($B$5:$B$16,'FOOD WASTAGE-STAFF MESS'!$B$4:$F$15,4,0)</f>
        <v>0</v>
      </c>
      <c r="K5" s="1" t="str">
        <f>IFERROR(SUM(I5/J5),"0")</f>
        <v>0</v>
      </c>
      <c r="L5" s="1">
        <f>VLOOKUP($B$5:$B$16,'PLATE COUNT-STAFF MESS'!$B$4:$F$15,5,0)</f>
        <v>7044</v>
      </c>
      <c r="M5" s="1">
        <f>VLOOKUP($B$5:$B$16,'FOOD WASTAGE-STAFF MESS'!$B$4:$F$15,5,0)</f>
        <v>521</v>
      </c>
      <c r="N5" s="14">
        <f>IFERROR(SUM(M5/L5*100),"0")</f>
        <v>7.3963657013060766</v>
      </c>
      <c r="P5" s="19" t="s">
        <v>0</v>
      </c>
      <c r="Q5" s="19" t="s">
        <v>25</v>
      </c>
      <c r="R5" s="19" t="s">
        <v>1</v>
      </c>
      <c r="S5" s="6" t="s">
        <v>68</v>
      </c>
      <c r="T5" s="19" t="s">
        <v>3</v>
      </c>
      <c r="U5" s="17" t="s">
        <v>40</v>
      </c>
    </row>
    <row r="6" spans="1:21" x14ac:dyDescent="0.3">
      <c r="A6" s="3">
        <v>2</v>
      </c>
      <c r="B6" s="2" t="s">
        <v>6</v>
      </c>
      <c r="C6" s="1">
        <f>VLOOKUP($B$5:$B$16,'PLATE COUNT-STAFF MESS'!$B$4:$F$15,2,0)</f>
        <v>13951</v>
      </c>
      <c r="D6" s="1">
        <f>VLOOKUP($B$5:$B$16,'FOOD WASTAGE-STAFF MESS'!$B$4:$F$15,2,0)</f>
        <v>729</v>
      </c>
      <c r="E6" s="13">
        <f t="shared" ref="E6:E16" si="0">IFERROR(SUM(D6/C6*100),"0")</f>
        <v>5.2254318686832484</v>
      </c>
      <c r="F6" s="1">
        <f>VLOOKUP($B$5:$B$16,'PLATE COUNT-STAFF MESS'!$B$4:$F$15,3,0)</f>
        <v>22240</v>
      </c>
      <c r="G6" s="1">
        <f>VLOOKUP($B$5:$B$16,'FOOD WASTAGE-STAFF MESS'!$B$4:$F$15,3,0)</f>
        <v>1567</v>
      </c>
      <c r="H6" s="13">
        <f t="shared" ref="H6:H16" si="1">IFERROR(SUM(G6/F6*100),"0")</f>
        <v>7.0458633093525176</v>
      </c>
      <c r="I6" s="1">
        <f>VLOOKUP($B$5:$B$16,'PLATE COUNT-STAFF MESS'!$B$4:$F$15,4,0)</f>
        <v>9990</v>
      </c>
      <c r="J6" s="1">
        <f>VLOOKUP($B$5:$B$16,'FOOD WASTAGE-STAFF MESS'!$B$4:$F$15,4,0)</f>
        <v>0</v>
      </c>
      <c r="K6" s="1" t="str">
        <f t="shared" ref="K6:K16" si="2">IFERROR(SUM(I6/J6),"0")</f>
        <v>0</v>
      </c>
      <c r="L6" s="1">
        <f>VLOOKUP($B$5:$B$16,'PLATE COUNT-STAFF MESS'!$B$4:$F$15,5,0)</f>
        <v>9990</v>
      </c>
      <c r="M6" s="1">
        <f>VLOOKUP($B$5:$B$16,'FOOD WASTAGE-STAFF MESS'!$B$4:$F$15,5,0)</f>
        <v>590</v>
      </c>
      <c r="N6" s="14">
        <f t="shared" ref="N6:N16" si="3">IFERROR(SUM(M6/L6*100),"0")</f>
        <v>5.9059059059059056</v>
      </c>
      <c r="P6" s="2" t="s">
        <v>5</v>
      </c>
      <c r="Q6" s="13">
        <f t="shared" ref="Q6:Q17" si="4">VLOOKUP($P$6:$P$17,$B$4:$N$16,4,0)</f>
        <v>5.715197956577267</v>
      </c>
      <c r="R6" s="13">
        <f t="shared" ref="R6:R17" si="5">VLOOKUP($P$6:$P$17,$B$4:$N$16,7,0)</f>
        <v>8.5823886407878156</v>
      </c>
      <c r="S6" s="13" t="str">
        <f t="shared" ref="S6:S17" si="6">VLOOKUP($P$6:$P$17,$B$4:$N$16,10,0)</f>
        <v>0</v>
      </c>
      <c r="T6" s="13">
        <f t="shared" ref="T6:T17" si="7">VLOOKUP($P$6:$P$17,$B$4:$N$16,13,0)</f>
        <v>7.3963657013060766</v>
      </c>
      <c r="U6" s="13">
        <f>SUM(Q6:T6)/4</f>
        <v>5.42348807466779</v>
      </c>
    </row>
    <row r="7" spans="1:21" x14ac:dyDescent="0.3">
      <c r="A7" s="3">
        <v>3</v>
      </c>
      <c r="B7" s="2" t="s">
        <v>7</v>
      </c>
      <c r="C7" s="1">
        <f>VLOOKUP($B$5:$B$16,'PLATE COUNT-STAFF MESS'!$B$4:$F$15,2,0)</f>
        <v>18063</v>
      </c>
      <c r="D7" s="1">
        <f>VLOOKUP($B$5:$B$16,'FOOD WASTAGE-STAFF MESS'!$B$4:$F$15,2,0)</f>
        <v>902</v>
      </c>
      <c r="E7" s="13">
        <f t="shared" si="0"/>
        <v>4.9936333942313018</v>
      </c>
      <c r="F7" s="1">
        <f>VLOOKUP($B$5:$B$16,'PLATE COUNT-STAFF MESS'!$B$4:$F$15,3,0)</f>
        <v>23297</v>
      </c>
      <c r="G7" s="1">
        <f>VLOOKUP($B$5:$B$16,'FOOD WASTAGE-STAFF MESS'!$B$4:$F$15,3,0)</f>
        <v>1630</v>
      </c>
      <c r="H7" s="13">
        <f t="shared" si="1"/>
        <v>6.9966090054513455</v>
      </c>
      <c r="I7" s="1">
        <f>VLOOKUP($B$5:$B$16,'PLATE COUNT-STAFF MESS'!$B$4:$F$15,4,0)</f>
        <v>12504</v>
      </c>
      <c r="J7" s="1">
        <f>VLOOKUP($B$5:$B$16,'FOOD WASTAGE-STAFF MESS'!$B$4:$F$15,4,0)</f>
        <v>0</v>
      </c>
      <c r="K7" s="1" t="str">
        <f t="shared" si="2"/>
        <v>0</v>
      </c>
      <c r="L7" s="1">
        <f>VLOOKUP($B$5:$B$16,'PLATE COUNT-STAFF MESS'!$B$4:$F$15,5,0)</f>
        <v>12539</v>
      </c>
      <c r="M7" s="1">
        <f>VLOOKUP($B$5:$B$16,'FOOD WASTAGE-STAFF MESS'!$B$4:$F$15,5,0)</f>
        <v>714</v>
      </c>
      <c r="N7" s="14">
        <f t="shared" si="3"/>
        <v>5.6942339899513517</v>
      </c>
      <c r="P7" s="2" t="s">
        <v>6</v>
      </c>
      <c r="Q7" s="13">
        <f t="shared" si="4"/>
        <v>5.2254318686832484</v>
      </c>
      <c r="R7" s="13">
        <f t="shared" si="5"/>
        <v>7.0458633093525176</v>
      </c>
      <c r="S7" s="13" t="str">
        <f t="shared" si="6"/>
        <v>0</v>
      </c>
      <c r="T7" s="13">
        <f t="shared" si="7"/>
        <v>5.9059059059059056</v>
      </c>
      <c r="U7" s="13">
        <f t="shared" ref="U7:U17" si="8">SUM(Q7:T7)/4</f>
        <v>4.5443002709854179</v>
      </c>
    </row>
    <row r="8" spans="1:21" x14ac:dyDescent="0.3">
      <c r="A8" s="3">
        <v>4</v>
      </c>
      <c r="B8" s="2" t="s">
        <v>8</v>
      </c>
      <c r="C8" s="1">
        <f>VLOOKUP($B$5:$B$16,'PLATE COUNT-STAFF MESS'!$B$4:$F$15,2,0)</f>
        <v>24139</v>
      </c>
      <c r="D8" s="1">
        <f>VLOOKUP($B$5:$B$16,'FOOD WASTAGE-STAFF MESS'!$B$4:$F$15,2,0)</f>
        <v>1064</v>
      </c>
      <c r="E8" s="13">
        <f t="shared" si="0"/>
        <v>4.4078047972161238</v>
      </c>
      <c r="F8" s="1">
        <f>VLOOKUP($B$5:$B$16,'PLATE COUNT-STAFF MESS'!$B$4:$F$15,3,0)</f>
        <v>27619</v>
      </c>
      <c r="G8" s="1">
        <f>VLOOKUP($B$5:$B$16,'FOOD WASTAGE-STAFF MESS'!$B$4:$F$15,3,0)</f>
        <v>1694</v>
      </c>
      <c r="H8" s="13">
        <f t="shared" si="1"/>
        <v>6.1334588507911221</v>
      </c>
      <c r="I8" s="1">
        <f>VLOOKUP($B$5:$B$16,'PLATE COUNT-STAFF MESS'!$B$4:$F$15,4,0)</f>
        <v>18746</v>
      </c>
      <c r="J8" s="1">
        <f>VLOOKUP($B$5:$B$16,'FOOD WASTAGE-STAFF MESS'!$B$4:$F$15,4,0)</f>
        <v>0</v>
      </c>
      <c r="K8" s="1" t="str">
        <f t="shared" si="2"/>
        <v>0</v>
      </c>
      <c r="L8" s="1">
        <f>VLOOKUP($B$5:$B$16,'PLATE COUNT-STAFF MESS'!$B$4:$F$15,5,0)</f>
        <v>18746</v>
      </c>
      <c r="M8" s="1">
        <f>VLOOKUP($B$5:$B$16,'FOOD WASTAGE-STAFF MESS'!$B$4:$F$15,5,0)</f>
        <v>812</v>
      </c>
      <c r="N8" s="14">
        <f t="shared" si="3"/>
        <v>4.33159073935773</v>
      </c>
      <c r="P8" s="2" t="s">
        <v>7</v>
      </c>
      <c r="Q8" s="13">
        <f t="shared" si="4"/>
        <v>4.9936333942313018</v>
      </c>
      <c r="R8" s="13">
        <f t="shared" si="5"/>
        <v>6.9966090054513455</v>
      </c>
      <c r="S8" s="13" t="str">
        <f t="shared" si="6"/>
        <v>0</v>
      </c>
      <c r="T8" s="13">
        <f t="shared" si="7"/>
        <v>5.6942339899513517</v>
      </c>
      <c r="U8" s="13">
        <f t="shared" si="8"/>
        <v>4.4211190974085</v>
      </c>
    </row>
    <row r="9" spans="1:21" x14ac:dyDescent="0.3">
      <c r="A9" s="3">
        <v>5</v>
      </c>
      <c r="B9" s="2" t="s">
        <v>9</v>
      </c>
      <c r="C9" s="1">
        <f>VLOOKUP($B$5:$B$16,'PLATE COUNT-STAFF MESS'!$B$4:$F$15,2,0)</f>
        <v>24507</v>
      </c>
      <c r="D9" s="1">
        <f>VLOOKUP($B$5:$B$16,'FOOD WASTAGE-STAFF MESS'!$B$4:$F$15,2,0)</f>
        <v>983</v>
      </c>
      <c r="E9" s="13">
        <f t="shared" si="0"/>
        <v>4.0110988697106951</v>
      </c>
      <c r="F9" s="1">
        <f>VLOOKUP($B$5:$B$16,'PLATE COUNT-STAFF MESS'!$B$4:$F$15,3,0)</f>
        <v>26746</v>
      </c>
      <c r="G9" s="1">
        <f>VLOOKUP($B$5:$B$16,'FOOD WASTAGE-STAFF MESS'!$B$4:$F$15,3,0)</f>
        <v>1706</v>
      </c>
      <c r="H9" s="13">
        <f t="shared" si="1"/>
        <v>6.3785238914230176</v>
      </c>
      <c r="I9" s="1">
        <f>VLOOKUP($B$5:$B$16,'PLATE COUNT-STAFF MESS'!$B$4:$F$15,4,0)</f>
        <v>19371</v>
      </c>
      <c r="J9" s="1">
        <f>VLOOKUP($B$5:$B$16,'FOOD WASTAGE-STAFF MESS'!$B$4:$F$15,4,0)</f>
        <v>0</v>
      </c>
      <c r="K9" s="1" t="str">
        <f t="shared" si="2"/>
        <v>0</v>
      </c>
      <c r="L9" s="1">
        <f>VLOOKUP($B$5:$B$16,'PLATE COUNT-STAFF MESS'!$B$4:$F$15,5,0)</f>
        <v>19514</v>
      </c>
      <c r="M9" s="1">
        <f>VLOOKUP($B$5:$B$16,'FOOD WASTAGE-STAFF MESS'!$B$4:$F$15,5,0)</f>
        <v>809</v>
      </c>
      <c r="N9" s="14">
        <f t="shared" si="3"/>
        <v>4.1457415189095004</v>
      </c>
      <c r="P9" s="2" t="s">
        <v>8</v>
      </c>
      <c r="Q9" s="13">
        <f t="shared" si="4"/>
        <v>4.4078047972161238</v>
      </c>
      <c r="R9" s="13">
        <f t="shared" si="5"/>
        <v>6.1334588507911221</v>
      </c>
      <c r="S9" s="13" t="str">
        <f t="shared" si="6"/>
        <v>0</v>
      </c>
      <c r="T9" s="13">
        <f t="shared" si="7"/>
        <v>4.33159073935773</v>
      </c>
      <c r="U9" s="13">
        <f t="shared" si="8"/>
        <v>3.7182135968412435</v>
      </c>
    </row>
    <row r="10" spans="1:21" x14ac:dyDescent="0.3">
      <c r="A10" s="3">
        <v>6</v>
      </c>
      <c r="B10" s="2" t="s">
        <v>10</v>
      </c>
      <c r="C10" s="1">
        <f>VLOOKUP($B$5:$B$16,'PLATE COUNT-STAFF MESS'!$B$4:$F$15,2,0)</f>
        <v>23272</v>
      </c>
      <c r="D10" s="1">
        <f>VLOOKUP($B$5:$B$16,'FOOD WASTAGE-STAFF MESS'!$B$4:$F$15,2,0)</f>
        <v>697</v>
      </c>
      <c r="E10" s="13">
        <f t="shared" si="0"/>
        <v>2.9950154692334134</v>
      </c>
      <c r="F10" s="1">
        <f>VLOOKUP($B$5:$B$16,'PLATE COUNT-STAFF MESS'!$B$4:$F$15,3,0)</f>
        <v>22932</v>
      </c>
      <c r="G10" s="1">
        <f>VLOOKUP($B$5:$B$16,'FOOD WASTAGE-STAFF MESS'!$B$4:$F$15,3,0)</f>
        <v>1443</v>
      </c>
      <c r="H10" s="13">
        <f t="shared" si="1"/>
        <v>6.2925170068027212</v>
      </c>
      <c r="I10" s="1">
        <f>VLOOKUP($B$5:$B$16,'PLATE COUNT-STAFF MESS'!$B$4:$F$15,4,0)</f>
        <v>16988</v>
      </c>
      <c r="J10" s="1">
        <f>VLOOKUP($B$5:$B$16,'FOOD WASTAGE-STAFF MESS'!$B$4:$F$15,4,0)</f>
        <v>0</v>
      </c>
      <c r="K10" s="1" t="str">
        <f t="shared" si="2"/>
        <v>0</v>
      </c>
      <c r="L10" s="1">
        <f>VLOOKUP($B$5:$B$16,'PLATE COUNT-STAFF MESS'!$B$4:$F$15,5,0)</f>
        <v>16988</v>
      </c>
      <c r="M10" s="1">
        <f>VLOOKUP($B$5:$B$16,'FOOD WASTAGE-STAFF MESS'!$B$4:$F$15,5,0)</f>
        <v>683</v>
      </c>
      <c r="N10" s="14">
        <f t="shared" si="3"/>
        <v>4.0204850482693661</v>
      </c>
      <c r="P10" s="2" t="s">
        <v>9</v>
      </c>
      <c r="Q10" s="13">
        <f t="shared" si="4"/>
        <v>4.0110988697106951</v>
      </c>
      <c r="R10" s="13">
        <f t="shared" si="5"/>
        <v>6.3785238914230176</v>
      </c>
      <c r="S10" s="13" t="str">
        <f t="shared" si="6"/>
        <v>0</v>
      </c>
      <c r="T10" s="13">
        <f t="shared" si="7"/>
        <v>4.1457415189095004</v>
      </c>
      <c r="U10" s="13">
        <f t="shared" si="8"/>
        <v>3.6338410700108028</v>
      </c>
    </row>
    <row r="11" spans="1:21" x14ac:dyDescent="0.3">
      <c r="A11" s="3">
        <v>7</v>
      </c>
      <c r="B11" s="2" t="s">
        <v>11</v>
      </c>
      <c r="C11" s="1">
        <f>VLOOKUP($B$5:$B$16,'PLATE COUNT-STAFF MESS'!$B$4:$F$15,2,0)</f>
        <v>22343</v>
      </c>
      <c r="D11" s="1">
        <f>VLOOKUP($B$5:$B$16,'FOOD WASTAGE-STAFF MESS'!$B$4:$F$15,2,0)</f>
        <v>744</v>
      </c>
      <c r="E11" s="13">
        <f t="shared" si="0"/>
        <v>3.3299019827238956</v>
      </c>
      <c r="F11" s="1">
        <f>VLOOKUP($B$5:$B$16,'PLATE COUNT-STAFF MESS'!$B$4:$F$15,3,0)</f>
        <v>27087</v>
      </c>
      <c r="G11" s="1">
        <f>VLOOKUP($B$5:$B$16,'FOOD WASTAGE-STAFF MESS'!$B$4:$F$15,3,0)</f>
        <v>1644</v>
      </c>
      <c r="H11" s="13">
        <f t="shared" si="1"/>
        <v>6.0693321519548125</v>
      </c>
      <c r="I11" s="1">
        <f>VLOOKUP($B$5:$B$16,'PLATE COUNT-STAFF MESS'!$B$4:$F$15,4,0)</f>
        <v>13532</v>
      </c>
      <c r="J11" s="1">
        <f>VLOOKUP($B$5:$B$16,'FOOD WASTAGE-STAFF MESS'!$B$4:$F$15,4,0)</f>
        <v>0</v>
      </c>
      <c r="K11" s="1" t="str">
        <f t="shared" si="2"/>
        <v>0</v>
      </c>
      <c r="L11" s="1">
        <f>VLOOKUP($B$5:$B$16,'PLATE COUNT-STAFF MESS'!$B$4:$F$15,5,0)</f>
        <v>13532</v>
      </c>
      <c r="M11" s="1">
        <f>VLOOKUP($B$5:$B$16,'FOOD WASTAGE-STAFF MESS'!$B$4:$F$15,5,0)</f>
        <v>675</v>
      </c>
      <c r="N11" s="14">
        <f t="shared" si="3"/>
        <v>4.9881761749926108</v>
      </c>
      <c r="P11" s="2" t="s">
        <v>10</v>
      </c>
      <c r="Q11" s="13">
        <f t="shared" si="4"/>
        <v>2.9950154692334134</v>
      </c>
      <c r="R11" s="13">
        <f t="shared" si="5"/>
        <v>6.2925170068027212</v>
      </c>
      <c r="S11" s="13" t="str">
        <f t="shared" si="6"/>
        <v>0</v>
      </c>
      <c r="T11" s="13">
        <f t="shared" si="7"/>
        <v>4.0204850482693661</v>
      </c>
      <c r="U11" s="13">
        <f t="shared" si="8"/>
        <v>3.327004381076375</v>
      </c>
    </row>
    <row r="12" spans="1:21" x14ac:dyDescent="0.3">
      <c r="A12" s="3">
        <v>8</v>
      </c>
      <c r="B12" s="2" t="s">
        <v>12</v>
      </c>
      <c r="C12" s="1">
        <f>VLOOKUP($B$5:$B$16,'PLATE COUNT-STAFF MESS'!$B$4:$F$15,2,0)</f>
        <v>20244</v>
      </c>
      <c r="D12" s="1">
        <f>VLOOKUP($B$5:$B$16,'FOOD WASTAGE-STAFF MESS'!$B$4:$F$15,2,0)</f>
        <v>713</v>
      </c>
      <c r="E12" s="13">
        <f t="shared" si="0"/>
        <v>3.5220312191266547</v>
      </c>
      <c r="F12" s="1">
        <f>VLOOKUP($B$5:$B$16,'PLATE COUNT-STAFF MESS'!$B$4:$F$15,3,0)</f>
        <v>21583</v>
      </c>
      <c r="G12" s="1">
        <f>VLOOKUP($B$5:$B$16,'FOOD WASTAGE-STAFF MESS'!$B$4:$F$15,3,0)</f>
        <v>1525</v>
      </c>
      <c r="H12" s="13">
        <f t="shared" si="1"/>
        <v>7.0657461891303344</v>
      </c>
      <c r="I12" s="1">
        <f>VLOOKUP($B$5:$B$16,'PLATE COUNT-STAFF MESS'!$B$4:$F$15,4,0)</f>
        <v>10143</v>
      </c>
      <c r="J12" s="1">
        <f>VLOOKUP($B$5:$B$16,'FOOD WASTAGE-STAFF MESS'!$B$4:$F$15,4,0)</f>
        <v>0</v>
      </c>
      <c r="K12" s="1" t="str">
        <f t="shared" si="2"/>
        <v>0</v>
      </c>
      <c r="L12" s="1">
        <f>VLOOKUP($B$5:$B$16,'PLATE COUNT-STAFF MESS'!$B$4:$F$15,5,0)</f>
        <v>10143</v>
      </c>
      <c r="M12" s="1">
        <f>VLOOKUP($B$5:$B$16,'FOOD WASTAGE-STAFF MESS'!$B$4:$F$15,5,0)</f>
        <v>647</v>
      </c>
      <c r="N12" s="14">
        <f t="shared" si="3"/>
        <v>6.378783397416937</v>
      </c>
      <c r="P12" s="2" t="s">
        <v>11</v>
      </c>
      <c r="Q12" s="13">
        <f t="shared" si="4"/>
        <v>3.3299019827238956</v>
      </c>
      <c r="R12" s="13">
        <f t="shared" si="5"/>
        <v>6.0693321519548125</v>
      </c>
      <c r="S12" s="13" t="str">
        <f t="shared" si="6"/>
        <v>0</v>
      </c>
      <c r="T12" s="13">
        <f t="shared" si="7"/>
        <v>4.9881761749926108</v>
      </c>
      <c r="U12" s="13">
        <f t="shared" si="8"/>
        <v>3.5968525774178293</v>
      </c>
    </row>
    <row r="13" spans="1:21" x14ac:dyDescent="0.3">
      <c r="A13" s="3">
        <v>9</v>
      </c>
      <c r="B13" s="2" t="s">
        <v>13</v>
      </c>
      <c r="C13" s="1">
        <f>VLOOKUP($B$5:$B$16,'PLATE COUNT-STAFF MESS'!$B$4:$F$15,2,0)</f>
        <v>20462</v>
      </c>
      <c r="D13" s="1">
        <f>VLOOKUP($B$5:$B$16,'FOOD WASTAGE-STAFF MESS'!$B$4:$F$15,2,0)</f>
        <v>762</v>
      </c>
      <c r="E13" s="13">
        <f t="shared" si="0"/>
        <v>3.7239761509138893</v>
      </c>
      <c r="F13" s="1">
        <f>VLOOKUP($B$5:$B$16,'PLATE COUNT-STAFF MESS'!$B$4:$F$15,3,0)</f>
        <v>21808</v>
      </c>
      <c r="G13" s="1">
        <f>VLOOKUP($B$5:$B$16,'FOOD WASTAGE-STAFF MESS'!$B$4:$F$15,3,0)</f>
        <v>1474</v>
      </c>
      <c r="H13" s="13">
        <f t="shared" si="1"/>
        <v>6.7589875275128399</v>
      </c>
      <c r="I13" s="1">
        <f>VLOOKUP($B$5:$B$16,'PLATE COUNT-STAFF MESS'!$B$4:$F$15,4,0)</f>
        <v>8604</v>
      </c>
      <c r="J13" s="1">
        <f>VLOOKUP($B$5:$B$16,'FOOD WASTAGE-STAFF MESS'!$B$4:$F$15,4,0)</f>
        <v>0</v>
      </c>
      <c r="K13" s="1" t="str">
        <f t="shared" si="2"/>
        <v>0</v>
      </c>
      <c r="L13" s="1">
        <f>VLOOKUP($B$5:$B$16,'PLATE COUNT-STAFF MESS'!$B$4:$F$15,5,0)</f>
        <v>8604</v>
      </c>
      <c r="M13" s="1">
        <f>VLOOKUP($B$5:$B$16,'FOOD WASTAGE-STAFF MESS'!$B$4:$F$15,5,0)</f>
        <v>566</v>
      </c>
      <c r="N13" s="14">
        <f t="shared" si="3"/>
        <v>6.5783356578335654</v>
      </c>
      <c r="P13" s="2" t="s">
        <v>12</v>
      </c>
      <c r="Q13" s="13">
        <f t="shared" si="4"/>
        <v>3.5220312191266547</v>
      </c>
      <c r="R13" s="13">
        <f t="shared" si="5"/>
        <v>7.0657461891303344</v>
      </c>
      <c r="S13" s="13" t="str">
        <f t="shared" si="6"/>
        <v>0</v>
      </c>
      <c r="T13" s="13">
        <f t="shared" si="7"/>
        <v>6.378783397416937</v>
      </c>
      <c r="U13" s="13">
        <f t="shared" si="8"/>
        <v>4.2416402014184822</v>
      </c>
    </row>
    <row r="14" spans="1:21" x14ac:dyDescent="0.3">
      <c r="A14" s="3">
        <v>10</v>
      </c>
      <c r="B14" s="2" t="s">
        <v>14</v>
      </c>
      <c r="C14" s="1">
        <f>VLOOKUP($B$5:$B$16,'PLATE COUNT-STAFF MESS'!$B$4:$F$15,2,0)</f>
        <v>21647</v>
      </c>
      <c r="D14" s="1">
        <f>VLOOKUP($B$5:$B$16,'FOOD WASTAGE-STAFF MESS'!$B$4:$F$15,2,0)</f>
        <v>679</v>
      </c>
      <c r="E14" s="13">
        <f t="shared" si="0"/>
        <v>3.1366933062318103</v>
      </c>
      <c r="F14" s="1">
        <f>VLOOKUP($B$5:$B$16,'PLATE COUNT-STAFF MESS'!$B$4:$F$15,3,0)</f>
        <v>21145</v>
      </c>
      <c r="G14" s="1">
        <f>VLOOKUP($B$5:$B$16,'FOOD WASTAGE-STAFF MESS'!$B$4:$F$15,3,0)</f>
        <v>1287</v>
      </c>
      <c r="H14" s="13">
        <f t="shared" si="1"/>
        <v>6.086545282572712</v>
      </c>
      <c r="I14" s="1">
        <f>VLOOKUP($B$5:$B$16,'PLATE COUNT-STAFF MESS'!$B$4:$F$15,4,0)</f>
        <v>8859</v>
      </c>
      <c r="J14" s="1">
        <f>VLOOKUP($B$5:$B$16,'FOOD WASTAGE-STAFF MESS'!$B$4:$F$15,4,0)</f>
        <v>0</v>
      </c>
      <c r="K14" s="1" t="str">
        <f t="shared" si="2"/>
        <v>0</v>
      </c>
      <c r="L14" s="1">
        <f>VLOOKUP($B$5:$B$16,'PLATE COUNT-STAFF MESS'!$B$4:$F$15,5,0)</f>
        <v>8689</v>
      </c>
      <c r="M14" s="1">
        <f>VLOOKUP($B$5:$B$16,'FOOD WASTAGE-STAFF MESS'!$B$4:$F$15,5,0)</f>
        <v>575</v>
      </c>
      <c r="N14" s="14">
        <f t="shared" si="3"/>
        <v>6.6175624352629763</v>
      </c>
      <c r="P14" s="2" t="s">
        <v>13</v>
      </c>
      <c r="Q14" s="13">
        <f t="shared" si="4"/>
        <v>3.7239761509138893</v>
      </c>
      <c r="R14" s="13">
        <f t="shared" si="5"/>
        <v>6.7589875275128399</v>
      </c>
      <c r="S14" s="13" t="str">
        <f t="shared" si="6"/>
        <v>0</v>
      </c>
      <c r="T14" s="13">
        <f t="shared" si="7"/>
        <v>6.5783356578335654</v>
      </c>
      <c r="U14" s="13">
        <f t="shared" si="8"/>
        <v>4.2653248340650736</v>
      </c>
    </row>
    <row r="15" spans="1:21" x14ac:dyDescent="0.3">
      <c r="A15" s="3">
        <v>11</v>
      </c>
      <c r="B15" s="2" t="s">
        <v>15</v>
      </c>
      <c r="C15" s="1">
        <f>VLOOKUP($B$5:$B$16,'PLATE COUNT-STAFF MESS'!$B$4:$F$15,2,0)</f>
        <v>20814</v>
      </c>
      <c r="D15" s="1">
        <f>VLOOKUP($B$5:$B$16,'FOOD WASTAGE-STAFF MESS'!$B$4:$F$15,2,0)</f>
        <v>702</v>
      </c>
      <c r="E15" s="13">
        <f t="shared" si="0"/>
        <v>3.3727298933410208</v>
      </c>
      <c r="F15" s="1">
        <f>VLOOKUP($B$5:$B$16,'PLATE COUNT-STAFF MESS'!$B$4:$F$15,3,0)</f>
        <v>21988</v>
      </c>
      <c r="G15" s="1">
        <f>VLOOKUP($B$5:$B$16,'FOOD WASTAGE-STAFF MESS'!$B$4:$F$15,3,0)</f>
        <v>1233</v>
      </c>
      <c r="H15" s="13">
        <f t="shared" si="1"/>
        <v>5.6076041477169367</v>
      </c>
      <c r="I15" s="1">
        <f>VLOOKUP($B$5:$B$16,'PLATE COUNT-STAFF MESS'!$B$4:$F$15,4,0)</f>
        <v>6774</v>
      </c>
      <c r="J15" s="1">
        <f>VLOOKUP($B$5:$B$16,'FOOD WASTAGE-STAFF MESS'!$B$4:$F$15,4,0)</f>
        <v>0</v>
      </c>
      <c r="K15" s="1" t="str">
        <f t="shared" si="2"/>
        <v>0</v>
      </c>
      <c r="L15" s="1">
        <f>VLOOKUP($B$5:$B$16,'PLATE COUNT-STAFF MESS'!$B$4:$F$15,5,0)</f>
        <v>6777</v>
      </c>
      <c r="M15" s="1">
        <f>VLOOKUP($B$5:$B$16,'FOOD WASTAGE-STAFF MESS'!$B$4:$F$15,5,0)</f>
        <v>470</v>
      </c>
      <c r="N15" s="14">
        <f t="shared" si="3"/>
        <v>6.9352220746643063</v>
      </c>
      <c r="P15" s="2" t="s">
        <v>14</v>
      </c>
      <c r="Q15" s="13">
        <f t="shared" si="4"/>
        <v>3.1366933062318103</v>
      </c>
      <c r="R15" s="13">
        <f t="shared" si="5"/>
        <v>6.086545282572712</v>
      </c>
      <c r="S15" s="13" t="str">
        <f t="shared" si="6"/>
        <v>0</v>
      </c>
      <c r="T15" s="13">
        <f t="shared" si="7"/>
        <v>6.6175624352629763</v>
      </c>
      <c r="U15" s="13">
        <f t="shared" si="8"/>
        <v>3.9602002560168748</v>
      </c>
    </row>
    <row r="16" spans="1:21" x14ac:dyDescent="0.3">
      <c r="A16" s="3">
        <v>12</v>
      </c>
      <c r="B16" s="2" t="s">
        <v>27</v>
      </c>
      <c r="C16" s="1">
        <f>VLOOKUP($B$5:$B$16,'PLATE COUNT-STAFF MESS'!$B$4:$F$15,2,0)</f>
        <v>21427</v>
      </c>
      <c r="D16" s="1">
        <f>VLOOKUP($B$5:$B$16,'FOOD WASTAGE-STAFF MESS'!$B$4:$F$15,2,0)</f>
        <v>691</v>
      </c>
      <c r="E16" s="13">
        <f t="shared" si="0"/>
        <v>3.2249031595650344</v>
      </c>
      <c r="F16" s="1">
        <f>VLOOKUP($B$5:$B$16,'PLATE COUNT-STAFF MESS'!$B$4:$F$15,3,0)</f>
        <v>22148</v>
      </c>
      <c r="G16" s="1">
        <f>VLOOKUP($B$5:$B$16,'FOOD WASTAGE-STAFF MESS'!$B$4:$F$15,3,0)</f>
        <v>1225</v>
      </c>
      <c r="H16" s="13">
        <f t="shared" si="1"/>
        <v>5.5309734513274336</v>
      </c>
      <c r="I16" s="1">
        <f>VLOOKUP($B$5:$B$16,'PLATE COUNT-STAFF MESS'!$B$4:$F$15,4,0)</f>
        <v>7053</v>
      </c>
      <c r="J16" s="1">
        <f>VLOOKUP($B$5:$B$16,'FOOD WASTAGE-STAFF MESS'!$B$4:$F$15,4,0)</f>
        <v>0</v>
      </c>
      <c r="K16" s="1" t="str">
        <f t="shared" si="2"/>
        <v>0</v>
      </c>
      <c r="L16" s="1">
        <f>VLOOKUP($B$5:$B$16,'PLATE COUNT-STAFF MESS'!$B$4:$F$15,5,0)</f>
        <v>7053</v>
      </c>
      <c r="M16" s="1">
        <f>VLOOKUP($B$5:$B$16,'FOOD WASTAGE-STAFF MESS'!$B$4:$F$15,5,0)</f>
        <v>473</v>
      </c>
      <c r="N16" s="14">
        <f t="shared" si="3"/>
        <v>6.7063660853537499</v>
      </c>
      <c r="P16" s="2" t="s">
        <v>15</v>
      </c>
      <c r="Q16" s="13">
        <f t="shared" si="4"/>
        <v>3.3727298933410208</v>
      </c>
      <c r="R16" s="13">
        <f t="shared" si="5"/>
        <v>5.6076041477169367</v>
      </c>
      <c r="S16" s="13" t="str">
        <f t="shared" si="6"/>
        <v>0</v>
      </c>
      <c r="T16" s="13">
        <f t="shared" si="7"/>
        <v>6.9352220746643063</v>
      </c>
      <c r="U16" s="13">
        <f t="shared" si="8"/>
        <v>3.9788890289305661</v>
      </c>
    </row>
    <row r="17" spans="1:21" x14ac:dyDescent="0.3">
      <c r="A17" s="12"/>
      <c r="B17" s="8" t="s">
        <v>16</v>
      </c>
      <c r="C17" s="15">
        <f>SUBTOTAL(9,C4:C16)</f>
        <v>243397</v>
      </c>
      <c r="D17" s="15">
        <f t="shared" ref="D17:N17" si="9">SUBTOTAL(9,D4:D16)</f>
        <v>9382</v>
      </c>
      <c r="E17" s="15">
        <f t="shared" si="9"/>
        <v>47.658418067554365</v>
      </c>
      <c r="F17" s="15">
        <f t="shared" si="9"/>
        <v>276059</v>
      </c>
      <c r="G17" s="15">
        <f t="shared" si="9"/>
        <v>17927</v>
      </c>
      <c r="H17" s="15">
        <f t="shared" si="9"/>
        <v>78.548549454823615</v>
      </c>
      <c r="I17" s="15">
        <f t="shared" si="9"/>
        <v>140345</v>
      </c>
      <c r="J17" s="15">
        <f t="shared" si="9"/>
        <v>0</v>
      </c>
      <c r="K17" s="15">
        <f t="shared" si="9"/>
        <v>0</v>
      </c>
      <c r="L17" s="15">
        <f t="shared" si="9"/>
        <v>139619</v>
      </c>
      <c r="M17" s="15">
        <f t="shared" si="9"/>
        <v>7535</v>
      </c>
      <c r="N17" s="15">
        <f t="shared" si="9"/>
        <v>69.698768729224071</v>
      </c>
      <c r="P17" s="2" t="s">
        <v>27</v>
      </c>
      <c r="Q17" s="13">
        <f t="shared" si="4"/>
        <v>3.2249031595650344</v>
      </c>
      <c r="R17" s="13">
        <f t="shared" si="5"/>
        <v>5.5309734513274336</v>
      </c>
      <c r="S17" s="13" t="str">
        <f t="shared" si="6"/>
        <v>0</v>
      </c>
      <c r="T17" s="13">
        <f t="shared" si="7"/>
        <v>6.7063660853537499</v>
      </c>
      <c r="U17" s="13">
        <f t="shared" si="8"/>
        <v>3.8655606740615545</v>
      </c>
    </row>
    <row r="18" spans="1:21" x14ac:dyDescent="0.3">
      <c r="Q18" s="16"/>
    </row>
    <row r="19" spans="1:21" ht="158.4" x14ac:dyDescent="0.3">
      <c r="R19" s="17" t="s">
        <v>66</v>
      </c>
      <c r="S19" s="17"/>
      <c r="T19" s="17"/>
      <c r="U19" s="18">
        <f>SUM(U6:U17)/(12)</f>
        <v>4.0813695052417094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H68"/>
  <sheetViews>
    <sheetView workbookViewId="0"/>
  </sheetViews>
  <sheetFormatPr defaultRowHeight="14.4" x14ac:dyDescent="0.3"/>
  <sheetData>
    <row r="1" spans="1:86" ht="22.8" x14ac:dyDescent="0.3">
      <c r="A1" s="58" t="s">
        <v>17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</row>
    <row r="2" spans="1:86" ht="17.399999999999999" x14ac:dyDescent="0.3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</row>
    <row r="3" spans="1:86" ht="20.399999999999999" x14ac:dyDescent="0.35">
      <c r="A3" s="57" t="s">
        <v>34</v>
      </c>
      <c r="B3" s="57"/>
      <c r="C3" s="54" t="s">
        <v>18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6" t="s">
        <v>19</v>
      </c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 t="s">
        <v>20</v>
      </c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 t="s">
        <v>21</v>
      </c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 t="s">
        <v>22</v>
      </c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9" t="s">
        <v>23</v>
      </c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1"/>
      <c r="CD3" s="30"/>
      <c r="CH3" s="30"/>
    </row>
    <row r="4" spans="1:86" ht="175.2" x14ac:dyDescent="0.3">
      <c r="A4" s="33" t="s">
        <v>60</v>
      </c>
      <c r="B4" s="33"/>
      <c r="C4" s="31" t="s">
        <v>36</v>
      </c>
      <c r="D4" s="31" t="s">
        <v>37</v>
      </c>
      <c r="E4" s="32" t="s">
        <v>39</v>
      </c>
      <c r="F4" s="31" t="s">
        <v>36</v>
      </c>
      <c r="G4" s="31" t="s">
        <v>37</v>
      </c>
      <c r="H4" s="32" t="s">
        <v>39</v>
      </c>
      <c r="I4" s="31" t="s">
        <v>36</v>
      </c>
      <c r="J4" s="31" t="s">
        <v>37</v>
      </c>
      <c r="K4" s="32" t="s">
        <v>39</v>
      </c>
      <c r="L4" s="31" t="s">
        <v>36</v>
      </c>
      <c r="M4" s="31" t="s">
        <v>37</v>
      </c>
      <c r="N4" s="32" t="s">
        <v>39</v>
      </c>
      <c r="O4" s="55" t="s">
        <v>72</v>
      </c>
      <c r="P4" s="31" t="s">
        <v>36</v>
      </c>
      <c r="Q4" s="31" t="s">
        <v>37</v>
      </c>
      <c r="R4" s="32" t="s">
        <v>39</v>
      </c>
      <c r="S4" s="31" t="s">
        <v>36</v>
      </c>
      <c r="T4" s="31" t="s">
        <v>37</v>
      </c>
      <c r="U4" s="32" t="s">
        <v>39</v>
      </c>
      <c r="V4" s="31" t="s">
        <v>36</v>
      </c>
      <c r="W4" s="31" t="s">
        <v>37</v>
      </c>
      <c r="X4" s="32" t="s">
        <v>39</v>
      </c>
      <c r="Y4" s="31" t="s">
        <v>36</v>
      </c>
      <c r="Z4" s="31" t="s">
        <v>37</v>
      </c>
      <c r="AA4" s="32" t="s">
        <v>39</v>
      </c>
      <c r="AB4" s="55" t="s">
        <v>73</v>
      </c>
      <c r="AC4" s="31" t="s">
        <v>36</v>
      </c>
      <c r="AD4" s="31" t="s">
        <v>37</v>
      </c>
      <c r="AE4" s="32" t="s">
        <v>39</v>
      </c>
      <c r="AF4" s="31" t="s">
        <v>36</v>
      </c>
      <c r="AG4" s="31" t="s">
        <v>37</v>
      </c>
      <c r="AH4" s="32" t="s">
        <v>39</v>
      </c>
      <c r="AI4" s="31" t="s">
        <v>36</v>
      </c>
      <c r="AJ4" s="31" t="s">
        <v>37</v>
      </c>
      <c r="AK4" s="32" t="s">
        <v>39</v>
      </c>
      <c r="AL4" s="31" t="s">
        <v>36</v>
      </c>
      <c r="AM4" s="31" t="s">
        <v>37</v>
      </c>
      <c r="AN4" s="32" t="s">
        <v>39</v>
      </c>
      <c r="AO4" s="55" t="s">
        <v>74</v>
      </c>
      <c r="AP4" s="31" t="s">
        <v>36</v>
      </c>
      <c r="AQ4" s="31" t="s">
        <v>37</v>
      </c>
      <c r="AR4" s="32" t="s">
        <v>39</v>
      </c>
      <c r="AS4" s="31" t="s">
        <v>36</v>
      </c>
      <c r="AT4" s="31" t="s">
        <v>37</v>
      </c>
      <c r="AU4" s="32" t="s">
        <v>39</v>
      </c>
      <c r="AV4" s="31" t="s">
        <v>36</v>
      </c>
      <c r="AW4" s="31" t="s">
        <v>37</v>
      </c>
      <c r="AX4" s="32" t="s">
        <v>39</v>
      </c>
      <c r="AY4" s="31" t="s">
        <v>36</v>
      </c>
      <c r="AZ4" s="31" t="s">
        <v>37</v>
      </c>
      <c r="BA4" s="32" t="s">
        <v>39</v>
      </c>
      <c r="BB4" s="55" t="s">
        <v>75</v>
      </c>
      <c r="BC4" s="31" t="s">
        <v>36</v>
      </c>
      <c r="BD4" s="31" t="s">
        <v>37</v>
      </c>
      <c r="BE4" s="32" t="s">
        <v>39</v>
      </c>
      <c r="BF4" s="31" t="s">
        <v>36</v>
      </c>
      <c r="BG4" s="31" t="s">
        <v>37</v>
      </c>
      <c r="BH4" s="32" t="s">
        <v>39</v>
      </c>
      <c r="BI4" s="31" t="s">
        <v>36</v>
      </c>
      <c r="BJ4" s="31" t="s">
        <v>37</v>
      </c>
      <c r="BK4" s="32" t="s">
        <v>39</v>
      </c>
      <c r="BL4" s="31" t="s">
        <v>36</v>
      </c>
      <c r="BM4" s="31" t="s">
        <v>37</v>
      </c>
      <c r="BN4" s="32" t="s">
        <v>39</v>
      </c>
      <c r="BO4" s="55" t="s">
        <v>76</v>
      </c>
      <c r="BP4" s="31" t="s">
        <v>36</v>
      </c>
      <c r="BQ4" s="31" t="s">
        <v>37</v>
      </c>
      <c r="BR4" s="32" t="s">
        <v>39</v>
      </c>
      <c r="BS4" s="31" t="s">
        <v>36</v>
      </c>
      <c r="BT4" s="31" t="s">
        <v>37</v>
      </c>
      <c r="BU4" s="32" t="s">
        <v>39</v>
      </c>
      <c r="BV4" s="31" t="s">
        <v>36</v>
      </c>
      <c r="BW4" s="31" t="s">
        <v>37</v>
      </c>
      <c r="BX4" s="32" t="s">
        <v>39</v>
      </c>
      <c r="BY4" s="31" t="s">
        <v>36</v>
      </c>
      <c r="BZ4" s="31" t="s">
        <v>37</v>
      </c>
      <c r="CA4" s="32" t="s">
        <v>39</v>
      </c>
      <c r="CB4" s="55" t="s">
        <v>77</v>
      </c>
      <c r="CD4" s="24"/>
      <c r="CH4" s="24"/>
    </row>
    <row r="5" spans="1:86" ht="84" x14ac:dyDescent="0.3">
      <c r="A5" s="33" t="s">
        <v>4</v>
      </c>
      <c r="B5" s="33" t="s">
        <v>0</v>
      </c>
      <c r="C5" s="31" t="s">
        <v>25</v>
      </c>
      <c r="D5" s="31" t="s">
        <v>25</v>
      </c>
      <c r="E5" s="31" t="s">
        <v>25</v>
      </c>
      <c r="F5" s="31" t="s">
        <v>1</v>
      </c>
      <c r="G5" s="31" t="s">
        <v>1</v>
      </c>
      <c r="H5" s="31" t="s">
        <v>1</v>
      </c>
      <c r="I5" s="31" t="s">
        <v>68</v>
      </c>
      <c r="J5" s="31" t="s">
        <v>68</v>
      </c>
      <c r="K5" s="31" t="s">
        <v>68</v>
      </c>
      <c r="L5" s="31" t="s">
        <v>3</v>
      </c>
      <c r="M5" s="31" t="s">
        <v>3</v>
      </c>
      <c r="N5" s="31" t="s">
        <v>3</v>
      </c>
      <c r="O5" s="55"/>
      <c r="P5" s="31" t="s">
        <v>25</v>
      </c>
      <c r="Q5" s="31" t="s">
        <v>25</v>
      </c>
      <c r="R5" s="31" t="s">
        <v>25</v>
      </c>
      <c r="S5" s="31" t="s">
        <v>1</v>
      </c>
      <c r="T5" s="31" t="s">
        <v>1</v>
      </c>
      <c r="U5" s="31" t="s">
        <v>1</v>
      </c>
      <c r="V5" s="31" t="s">
        <v>68</v>
      </c>
      <c r="W5" s="31" t="s">
        <v>68</v>
      </c>
      <c r="X5" s="31" t="s">
        <v>68</v>
      </c>
      <c r="Y5" s="31" t="s">
        <v>3</v>
      </c>
      <c r="Z5" s="31" t="s">
        <v>3</v>
      </c>
      <c r="AA5" s="31" t="s">
        <v>3</v>
      </c>
      <c r="AB5" s="55"/>
      <c r="AC5" s="31" t="s">
        <v>25</v>
      </c>
      <c r="AD5" s="31" t="s">
        <v>25</v>
      </c>
      <c r="AE5" s="31" t="s">
        <v>25</v>
      </c>
      <c r="AF5" s="31" t="s">
        <v>1</v>
      </c>
      <c r="AG5" s="31" t="s">
        <v>1</v>
      </c>
      <c r="AH5" s="31" t="s">
        <v>1</v>
      </c>
      <c r="AI5" s="31" t="s">
        <v>68</v>
      </c>
      <c r="AJ5" s="31" t="s">
        <v>68</v>
      </c>
      <c r="AK5" s="31" t="s">
        <v>68</v>
      </c>
      <c r="AL5" s="31" t="s">
        <v>3</v>
      </c>
      <c r="AM5" s="31" t="s">
        <v>3</v>
      </c>
      <c r="AN5" s="31" t="s">
        <v>3</v>
      </c>
      <c r="AO5" s="55"/>
      <c r="AP5" s="31" t="s">
        <v>25</v>
      </c>
      <c r="AQ5" s="31" t="s">
        <v>25</v>
      </c>
      <c r="AR5" s="31" t="s">
        <v>25</v>
      </c>
      <c r="AS5" s="31" t="s">
        <v>1</v>
      </c>
      <c r="AT5" s="31" t="s">
        <v>1</v>
      </c>
      <c r="AU5" s="31" t="s">
        <v>1</v>
      </c>
      <c r="AV5" s="31" t="s">
        <v>68</v>
      </c>
      <c r="AW5" s="31" t="s">
        <v>68</v>
      </c>
      <c r="AX5" s="31" t="s">
        <v>68</v>
      </c>
      <c r="AY5" s="31" t="s">
        <v>3</v>
      </c>
      <c r="AZ5" s="31" t="s">
        <v>3</v>
      </c>
      <c r="BA5" s="31" t="s">
        <v>3</v>
      </c>
      <c r="BB5" s="55"/>
      <c r="BC5" s="31" t="s">
        <v>25</v>
      </c>
      <c r="BD5" s="31" t="s">
        <v>25</v>
      </c>
      <c r="BE5" s="31" t="s">
        <v>25</v>
      </c>
      <c r="BF5" s="31" t="s">
        <v>1</v>
      </c>
      <c r="BG5" s="31" t="s">
        <v>1</v>
      </c>
      <c r="BH5" s="31" t="s">
        <v>1</v>
      </c>
      <c r="BI5" s="31" t="s">
        <v>68</v>
      </c>
      <c r="BJ5" s="31" t="s">
        <v>68</v>
      </c>
      <c r="BK5" s="31" t="s">
        <v>68</v>
      </c>
      <c r="BL5" s="31" t="s">
        <v>3</v>
      </c>
      <c r="BM5" s="31" t="s">
        <v>3</v>
      </c>
      <c r="BN5" s="31" t="s">
        <v>3</v>
      </c>
      <c r="BO5" s="55"/>
      <c r="BP5" s="31" t="s">
        <v>25</v>
      </c>
      <c r="BQ5" s="31" t="s">
        <v>25</v>
      </c>
      <c r="BR5" s="31" t="s">
        <v>25</v>
      </c>
      <c r="BS5" s="31" t="s">
        <v>1</v>
      </c>
      <c r="BT5" s="31" t="s">
        <v>1</v>
      </c>
      <c r="BU5" s="31" t="s">
        <v>1</v>
      </c>
      <c r="BV5" s="31" t="s">
        <v>68</v>
      </c>
      <c r="BW5" s="31" t="s">
        <v>68</v>
      </c>
      <c r="BX5" s="31" t="s">
        <v>68</v>
      </c>
      <c r="BY5" s="31" t="s">
        <v>3</v>
      </c>
      <c r="BZ5" s="31" t="s">
        <v>3</v>
      </c>
      <c r="CA5" s="31" t="s">
        <v>3</v>
      </c>
      <c r="CB5" s="55"/>
      <c r="CD5" s="24"/>
      <c r="CH5" s="24"/>
    </row>
    <row r="6" spans="1:86" x14ac:dyDescent="0.3">
      <c r="A6" s="26">
        <v>1</v>
      </c>
      <c r="B6" s="25" t="s">
        <v>5</v>
      </c>
      <c r="C6" s="28">
        <f>VLOOKUP($B$6:$B$17,'REPORT - SANNASI MESS'!$B$5:$N$16,2,0)</f>
        <v>48200</v>
      </c>
      <c r="D6" s="28">
        <f>VLOOKUP($B$6:$B$17,'REPORT - SANNASI MESS'!$B$5:$N$16,3,0)</f>
        <v>1427</v>
      </c>
      <c r="E6" s="28">
        <f>VLOOKUP($B$6:$B$17,'REPORT - SANNASI MESS'!$B$5:$N$16,4,0)</f>
        <v>2.9605809128630707</v>
      </c>
      <c r="F6" s="28">
        <f>VLOOKUP($B$6:$B$17,'REPORT - SANNASI MESS'!$B$5:$N$16,5,0)</f>
        <v>121200</v>
      </c>
      <c r="G6" s="28">
        <f>VLOOKUP($B$6:$B$17,'REPORT - SANNASI MESS'!$B$5:$N$16,6,0)</f>
        <v>10643</v>
      </c>
      <c r="H6" s="28">
        <f>VLOOKUP($B$6:$B$17,'REPORT - SANNASI MESS'!$B$5:$N$16,7,0)</f>
        <v>8.7813531353135321</v>
      </c>
      <c r="I6" s="28">
        <f>VLOOKUP($B$6:$B$17,'REPORT - SANNASI MESS'!$B$5:$N$16,8,0)</f>
        <v>130150</v>
      </c>
      <c r="J6" s="28">
        <f>VLOOKUP($B$6:$B$17,'REPORT - SANNASI MESS'!$B$5:$N$16,9,0)</f>
        <v>0</v>
      </c>
      <c r="K6" s="28" t="str">
        <f>VLOOKUP($B$6:$B$17,'REPORT - SANNASI MESS'!$B$5:$N$16,10,0)</f>
        <v>0</v>
      </c>
      <c r="L6" s="28">
        <f>VLOOKUP($B$6:$B$17,'REPORT - SANNASI MESS'!$B$5:$N$16,11,0)</f>
        <v>130150</v>
      </c>
      <c r="M6" s="28">
        <f>VLOOKUP($B$6:$B$17,'REPORT - SANNASI MESS'!$B$5:$N$16,12,0)</f>
        <v>10890</v>
      </c>
      <c r="N6" s="28">
        <f>VLOOKUP($B$6:$B$17,'REPORT - SANNASI MESS'!$B$5:$N$16,13,0)</f>
        <v>8.3672685363042643</v>
      </c>
      <c r="O6" s="29">
        <f>SUM(E6+H6+K6+N6)/4</f>
        <v>5.0273006461202172</v>
      </c>
      <c r="P6" s="28">
        <f>VLOOKUP($B$6:$B$17,'REPORT -D-MESS'!$B$5:$N$16,2,0)</f>
        <v>24455</v>
      </c>
      <c r="Q6" s="28">
        <f>VLOOKUP($B$6:$B$17,'REPORT -D-MESS'!$B$5:$N$16,3,0)</f>
        <v>1006</v>
      </c>
      <c r="R6" s="28">
        <f>VLOOKUP($B$6:$B$17,'REPORT -D-MESS'!$B$5:$N$16,4,0)</f>
        <v>4.1136781844203645</v>
      </c>
      <c r="S6" s="28">
        <f>VLOOKUP($B$6:$B$17,'REPORT -D-MESS'!$B$5:$N$16,5,0)</f>
        <v>31425</v>
      </c>
      <c r="T6" s="28">
        <f>VLOOKUP($B$6:$B$17,'REPORT -D-MESS'!$B$5:$N$16,6,0)</f>
        <v>3161</v>
      </c>
      <c r="U6" s="28">
        <f>VLOOKUP($B$6:$B$17,'REPORT -D-MESS'!$B$5:$N$16,7,0)</f>
        <v>10.058870326173428</v>
      </c>
      <c r="V6" s="28">
        <f>VLOOKUP($B$6:$B$17,'REPORT -D-MESS'!$B$5:$N$16,8,0)</f>
        <v>31350</v>
      </c>
      <c r="W6" s="28">
        <f>VLOOKUP($B$6:$B$17,'REPORT -D-MESS'!$B$5:$N$16,9,0)</f>
        <v>0</v>
      </c>
      <c r="X6" s="28" t="str">
        <f>VLOOKUP($B$6:$B$17,'REPORT -D-MESS'!$B$5:$N$16,10,0)</f>
        <v>0</v>
      </c>
      <c r="Y6" s="28">
        <f>VLOOKUP($B$6:$B$17,'REPORT -D-MESS'!$B$5:$N$16,11,0)</f>
        <v>31360</v>
      </c>
      <c r="Z6" s="28">
        <f>VLOOKUP($B$6:$B$17,'REPORT -D-MESS'!$B$5:$N$16,12,0)</f>
        <v>3175</v>
      </c>
      <c r="AA6" s="28">
        <f>VLOOKUP($B$6:$B$17,'REPORT -D-MESS'!$B$5:$N$16,13,0)</f>
        <v>10.124362244897959</v>
      </c>
      <c r="AB6" s="29">
        <f>SUM(R6+U6+X6+AA6)/4</f>
        <v>6.0742276888729378</v>
      </c>
      <c r="AC6" s="28">
        <f>VLOOKUP($B$6:$B$17,'REPORT -SENBAGAM MESS'!$B$5:$N$16,2,0)</f>
        <v>18560</v>
      </c>
      <c r="AD6" s="28">
        <f>VLOOKUP($B$6:$B$17,'REPORT -SENBAGAM MESS'!$B$5:$N$16,3,0)</f>
        <v>1131</v>
      </c>
      <c r="AE6" s="28">
        <f>VLOOKUP($B$6:$B$17,'REPORT -SENBAGAM MESS'!$B$5:$N$16,4,0)</f>
        <v>6.09375</v>
      </c>
      <c r="AF6" s="28">
        <f>VLOOKUP($B$6:$B$17,'REPORT -SENBAGAM MESS'!$B$5:$N$16,5,0)</f>
        <v>23780</v>
      </c>
      <c r="AG6" s="28">
        <f>VLOOKUP($B$6:$B$17,'REPORT -SENBAGAM MESS'!$B$5:$N$16,6,0)</f>
        <v>2109</v>
      </c>
      <c r="AH6" s="28">
        <f>VLOOKUP($B$6:$B$17,'REPORT -SENBAGAM MESS'!$B$5:$N$16,7,0)</f>
        <v>8.8687973086627423</v>
      </c>
      <c r="AI6" s="28">
        <f>VLOOKUP($B$6:$B$17,'REPORT -SENBAGAM MESS'!$B$5:$N$16,8,0)</f>
        <v>25070</v>
      </c>
      <c r="AJ6" s="28">
        <f>VLOOKUP($B$6:$B$17,'REPORT -SENBAGAM MESS'!$B$5:$N$16,9,0)</f>
        <v>0</v>
      </c>
      <c r="AK6" s="28" t="str">
        <f>VLOOKUP($B$6:$B$17,'REPORT -SENBAGAM MESS'!$B$5:$N$16,10,0)</f>
        <v>0</v>
      </c>
      <c r="AL6" s="28">
        <f>VLOOKUP($B$6:$B$17,'REPORT -SENBAGAM MESS'!$B$5:$N$16,11,0)</f>
        <v>24990</v>
      </c>
      <c r="AM6" s="28">
        <f>VLOOKUP($B$6:$B$17,'REPORT -SENBAGAM MESS'!$B$5:$N$16,12,0)</f>
        <v>1918</v>
      </c>
      <c r="AN6" s="28">
        <f>VLOOKUP($B$6:$B$17,'REPORT -SENBAGAM MESS'!$B$5:$N$16,13,0)</f>
        <v>7.6750700280112047</v>
      </c>
      <c r="AO6" s="29">
        <f>SUM(AE6+AH6+AK6+AN6/4)</f>
        <v>16.881314815665544</v>
      </c>
      <c r="AP6" s="28">
        <f>VLOOKUP($B$6:$B$17,'REPORT -J MESS'!$B$6:$N$17,2,0)</f>
        <v>24014</v>
      </c>
      <c r="AQ6" s="28">
        <f>VLOOKUP($B$6:$B$17,'REPORT -J MESS'!$B$6:$N$17,3,0)</f>
        <v>892</v>
      </c>
      <c r="AR6" s="28">
        <f>VLOOKUP($B$6:$B$17,'REPORT -J MESS'!$B$6:$N$17,4,0)</f>
        <v>3.7144998750728742</v>
      </c>
      <c r="AS6" s="28">
        <f>VLOOKUP($B$6:$B$17,'REPORT -J MESS'!$B$6:$N$17,5,0)</f>
        <v>30024</v>
      </c>
      <c r="AT6" s="28">
        <f>VLOOKUP($B$6:$B$17,'REPORT -J MESS'!$B$6:$N$17,6,0)</f>
        <v>2577</v>
      </c>
      <c r="AU6" s="28">
        <f>VLOOKUP($B$6:$B$17,'REPORT -J MESS'!$B$6:$N$17,7,0)</f>
        <v>8.5831334932054357</v>
      </c>
      <c r="AV6" s="28">
        <f>VLOOKUP($B$6:$B$17,'REPORT -J MESS'!$B$6:$N$17,8,0)</f>
        <v>30414</v>
      </c>
      <c r="AW6" s="28">
        <f>VLOOKUP($B$6:$B$17,'REPORT -J MESS'!$B$6:$N$17,9,0)</f>
        <v>0</v>
      </c>
      <c r="AX6" s="28" t="str">
        <f>VLOOKUP($B$6:$B$17,'REPORT -J MESS'!$B$6:$N$17,10,0)</f>
        <v>0</v>
      </c>
      <c r="AY6" s="28">
        <f>VLOOKUP($B$6:$B$17,'REPORT -J MESS'!$B$6:$N$17,11,0)</f>
        <v>30515</v>
      </c>
      <c r="AZ6" s="28">
        <f>VLOOKUP($B$6:$B$17,'REPORT -J MESS'!$B$6:$N$17,12,0)</f>
        <v>2661</v>
      </c>
      <c r="BA6" s="28">
        <f>VLOOKUP($B$6:$B$17,'REPORT -J MESS'!$B$6:$N$17,13,0)</f>
        <v>8.7203014910699643</v>
      </c>
      <c r="BB6" s="29">
        <f>SUM(AR6+AU6+AX6+BA6/4)</f>
        <v>14.477708741045802</v>
      </c>
      <c r="BC6" s="28">
        <f>VLOOKUP($B$6:$B$17,'REPORT -MEENAKSHI MESS'!$B$5:$N$16,2,0)</f>
        <v>5650</v>
      </c>
      <c r="BD6" s="28">
        <f>VLOOKUP($B$6:$B$17,'REPORT -MEENAKSHI MESS'!$B$5:$N$16,3,0)</f>
        <v>114</v>
      </c>
      <c r="BE6" s="28">
        <f>VLOOKUP($B$6:$B$17,'REPORT -MEENAKSHI MESS'!$B$5:$N$16,4,0)</f>
        <v>2.0176991150442478</v>
      </c>
      <c r="BF6" s="28">
        <f>VLOOKUP($B$6:$B$17,'REPORT -MEENAKSHI MESS'!$B$5:$N$16,5,0)</f>
        <v>6976</v>
      </c>
      <c r="BG6" s="28">
        <f>VLOOKUP($B$6:$B$17,'REPORT -MEENAKSHI MESS'!$B$5:$N$16,6,0)</f>
        <v>388</v>
      </c>
      <c r="BH6" s="28">
        <f>VLOOKUP($B$6:$B$17,'REPORT -MEENAKSHI MESS'!$B$5:$N$16,7,0)</f>
        <v>5.5619266055045875</v>
      </c>
      <c r="BI6" s="28">
        <f>VLOOKUP($B$6:$B$17,'REPORT -MEENAKSHI MESS'!$B$5:$N$16,8,0)</f>
        <v>7226</v>
      </c>
      <c r="BJ6" s="28">
        <f>VLOOKUP($B$6:$B$17,'REPORT -MEENAKSHI MESS'!$B$5:$N$16,9,0)</f>
        <v>0</v>
      </c>
      <c r="BK6" s="28" t="str">
        <f>VLOOKUP($B$6:$B$17,'REPORT -MEENAKSHI MESS'!$B$5:$N$16,10,0)</f>
        <v>0</v>
      </c>
      <c r="BL6" s="28">
        <f>VLOOKUP($B$6:$B$17,'REPORT -MEENAKSHI MESS'!$B$5:$N$16,11,0)</f>
        <v>7186</v>
      </c>
      <c r="BM6" s="28">
        <f>VLOOKUP($B$6:$B$17,'REPORT -MEENAKSHI MESS'!$B$5:$N$16,12,0)</f>
        <v>393</v>
      </c>
      <c r="BN6" s="28">
        <f>VLOOKUP($B$6:$B$17,'REPORT -MEENAKSHI MESS'!$B$5:$N$16,13,0)</f>
        <v>5.4689674366824388</v>
      </c>
      <c r="BO6" s="29">
        <f>SUM(BE6+BH6+BK6+BN6)/4</f>
        <v>3.2621482893078184</v>
      </c>
      <c r="BP6" s="28">
        <f>VLOOKUP($B$6:$B$17,'REPORT -STAFF MESS'!$B$5:$N$16,2,0)</f>
        <v>12528</v>
      </c>
      <c r="BQ6" s="28">
        <f>VLOOKUP($B$6:$B$17,'REPORT -STAFF MESS'!$B$5:$N$16,3,0)</f>
        <v>716</v>
      </c>
      <c r="BR6" s="28">
        <f>VLOOKUP($B$6:$B$17,'REPORT -STAFF MESS'!$B$5:$N$16,4,0)</f>
        <v>5.715197956577267</v>
      </c>
      <c r="BS6" s="28">
        <f>VLOOKUP($B$6:$B$17,'REPORT -STAFF MESS'!$B$5:$N$16,5,0)</f>
        <v>17466</v>
      </c>
      <c r="BT6" s="28">
        <f>VLOOKUP($B$6:$B$17,'REPORT -STAFF MESS'!$B$5:$N$16,6,0)</f>
        <v>1499</v>
      </c>
      <c r="BU6" s="28">
        <f>VLOOKUP($B$6:$B$17,'REPORT -STAFF MESS'!$B$5:$N$16,7,0)</f>
        <v>8.5823886407878156</v>
      </c>
      <c r="BV6" s="28">
        <f>VLOOKUP($B$6:$B$17,'REPORT -STAFF MESS'!$B$5:$N$16,8,0)</f>
        <v>7781</v>
      </c>
      <c r="BW6" s="28">
        <f>VLOOKUP($B$6:$B$17,'REPORT -STAFF MESS'!$B$5:$N$16,9,0)</f>
        <v>0</v>
      </c>
      <c r="BX6" s="28" t="str">
        <f>VLOOKUP($B$6:$B$17,'REPORT -STAFF MESS'!$B$5:$N$16,10,0)</f>
        <v>0</v>
      </c>
      <c r="BY6" s="28">
        <f>VLOOKUP($B$6:$B$17,'REPORT -STAFF MESS'!$B$5:$N$16,11,0)</f>
        <v>7044</v>
      </c>
      <c r="BZ6" s="28">
        <f>VLOOKUP($B$6:$B$17,'REPORT -STAFF MESS'!$B$5:$N$16,12,0)</f>
        <v>521</v>
      </c>
      <c r="CA6" s="28">
        <f>VLOOKUP($B$6:$B$17,'REPORT -STAFF MESS'!$B$5:$N$16,13,0)</f>
        <v>7.3963657013060766</v>
      </c>
      <c r="CB6" s="35">
        <f>SUM(BR6+BU6+BX6+CA6)/4</f>
        <v>5.42348807466779</v>
      </c>
      <c r="CD6" s="24"/>
      <c r="CH6" s="24"/>
    </row>
    <row r="7" spans="1:86" x14ac:dyDescent="0.3">
      <c r="A7" s="26">
        <v>2</v>
      </c>
      <c r="B7" s="25" t="s">
        <v>6</v>
      </c>
      <c r="C7" s="28">
        <f>VLOOKUP($B$6:$B$17,'REPORT - SANNASI MESS'!$B$5:$N$16,2,0)</f>
        <v>50086</v>
      </c>
      <c r="D7" s="28">
        <f>VLOOKUP($B$6:$B$17,'REPORT - SANNASI MESS'!$B$5:$N$16,3,0)</f>
        <v>1280</v>
      </c>
      <c r="E7" s="28">
        <f>VLOOKUP($B$6:$B$17,'REPORT - SANNASI MESS'!$B$5:$N$16,4,0)</f>
        <v>2.5556043604999403</v>
      </c>
      <c r="F7" s="28">
        <f>VLOOKUP($B$6:$B$17,'REPORT - SANNASI MESS'!$B$5:$N$16,5,0)</f>
        <v>107468</v>
      </c>
      <c r="G7" s="28">
        <f>VLOOKUP($B$6:$B$17,'REPORT - SANNASI MESS'!$B$5:$N$16,6,0)</f>
        <v>10980</v>
      </c>
      <c r="H7" s="28">
        <f>VLOOKUP($B$6:$B$17,'REPORT - SANNASI MESS'!$B$5:$N$16,7,0)</f>
        <v>10.216994826366918</v>
      </c>
      <c r="I7" s="28">
        <f>VLOOKUP($B$6:$B$17,'REPORT - SANNASI MESS'!$B$5:$N$16,8,0)</f>
        <v>115715</v>
      </c>
      <c r="J7" s="28">
        <f>VLOOKUP($B$6:$B$17,'REPORT - SANNASI MESS'!$B$5:$N$16,9,0)</f>
        <v>0</v>
      </c>
      <c r="K7" s="28" t="str">
        <f>VLOOKUP($B$6:$B$17,'REPORT - SANNASI MESS'!$B$5:$N$16,10,0)</f>
        <v>0</v>
      </c>
      <c r="L7" s="28">
        <f>VLOOKUP($B$6:$B$17,'REPORT - SANNASI MESS'!$B$5:$N$16,11,0)</f>
        <v>115715</v>
      </c>
      <c r="M7" s="28">
        <f>VLOOKUP($B$6:$B$17,'REPORT - SANNASI MESS'!$B$5:$N$16,12,0)</f>
        <v>11785</v>
      </c>
      <c r="N7" s="28">
        <f>VLOOKUP($B$6:$B$17,'REPORT - SANNASI MESS'!$B$5:$N$16,13,0)</f>
        <v>10.184505033919544</v>
      </c>
      <c r="O7" s="29">
        <f t="shared" ref="O7:O17" si="0">SUM(E7+H7+K7+N7)/4</f>
        <v>5.7392760551966004</v>
      </c>
      <c r="P7" s="28">
        <f>VLOOKUP($B$6:$B$17,'REPORT -D-MESS'!$B$5:$N$16,2,0)</f>
        <v>24240</v>
      </c>
      <c r="Q7" s="28">
        <f>VLOOKUP($B$6:$B$17,'REPORT -D-MESS'!$B$5:$N$16,3,0)</f>
        <v>1023</v>
      </c>
      <c r="R7" s="28">
        <f>VLOOKUP($B$6:$B$17,'REPORT -D-MESS'!$B$5:$N$16,4,0)</f>
        <v>4.2202970297029703</v>
      </c>
      <c r="S7" s="28">
        <f>VLOOKUP($B$6:$B$17,'REPORT -D-MESS'!$B$5:$N$16,5,0)</f>
        <v>29827</v>
      </c>
      <c r="T7" s="28">
        <f>VLOOKUP($B$6:$B$17,'REPORT -D-MESS'!$B$5:$N$16,6,0)</f>
        <v>3024</v>
      </c>
      <c r="U7" s="28">
        <f>VLOOKUP($B$6:$B$17,'REPORT -D-MESS'!$B$5:$N$16,7,0)</f>
        <v>10.13846514902605</v>
      </c>
      <c r="V7" s="28">
        <f>VLOOKUP($B$6:$B$17,'REPORT -D-MESS'!$B$5:$N$16,8,0)</f>
        <v>32415</v>
      </c>
      <c r="W7" s="28">
        <f>VLOOKUP($B$6:$B$17,'REPORT -D-MESS'!$B$5:$N$16,9,0)</f>
        <v>0</v>
      </c>
      <c r="X7" s="28" t="str">
        <f>VLOOKUP($B$6:$B$17,'REPORT -D-MESS'!$B$5:$N$16,10,0)</f>
        <v>0</v>
      </c>
      <c r="Y7" s="28">
        <f>VLOOKUP($B$6:$B$17,'REPORT -D-MESS'!$B$5:$N$16,11,0)</f>
        <v>32415</v>
      </c>
      <c r="Z7" s="28">
        <f>VLOOKUP($B$6:$B$17,'REPORT -D-MESS'!$B$5:$N$16,12,0)</f>
        <v>3754</v>
      </c>
      <c r="AA7" s="28">
        <f>VLOOKUP($B$6:$B$17,'REPORT -D-MESS'!$B$5:$N$16,13,0)</f>
        <v>11.581058152090081</v>
      </c>
      <c r="AB7" s="29">
        <f t="shared" ref="AB7:AB17" si="1">SUM(R7+U7+X7+AA7)/4</f>
        <v>6.4849550827047757</v>
      </c>
      <c r="AC7" s="28">
        <f>VLOOKUP($B$6:$B$17,'REPORT -SENBAGAM MESS'!$B$5:$N$16,2,0)</f>
        <v>19820</v>
      </c>
      <c r="AD7" s="28">
        <f>VLOOKUP($B$6:$B$17,'REPORT -SENBAGAM MESS'!$B$5:$N$16,3,0)</f>
        <v>1101</v>
      </c>
      <c r="AE7" s="28">
        <f>VLOOKUP($B$6:$B$17,'REPORT -SENBAGAM MESS'!$B$5:$N$16,4,0)</f>
        <v>5.5549949545913222</v>
      </c>
      <c r="AF7" s="28">
        <f>VLOOKUP($B$6:$B$17,'REPORT -SENBAGAM MESS'!$B$5:$N$16,5,0)</f>
        <v>22415</v>
      </c>
      <c r="AG7" s="28">
        <f>VLOOKUP($B$6:$B$17,'REPORT -SENBAGAM MESS'!$B$5:$N$16,6,0)</f>
        <v>1559</v>
      </c>
      <c r="AH7" s="28">
        <f>VLOOKUP($B$6:$B$17,'REPORT -SENBAGAM MESS'!$B$5:$N$16,7,0)</f>
        <v>6.9551639527102385</v>
      </c>
      <c r="AI7" s="28">
        <f>VLOOKUP($B$6:$B$17,'REPORT -SENBAGAM MESS'!$B$5:$N$16,8,0)</f>
        <v>24565</v>
      </c>
      <c r="AJ7" s="28">
        <f>VLOOKUP($B$6:$B$17,'REPORT -SENBAGAM MESS'!$B$5:$N$16,9,0)</f>
        <v>0</v>
      </c>
      <c r="AK7" s="28" t="str">
        <f>VLOOKUP($B$6:$B$17,'REPORT -SENBAGAM MESS'!$B$5:$N$16,10,0)</f>
        <v>0</v>
      </c>
      <c r="AL7" s="28">
        <f>VLOOKUP($B$6:$B$17,'REPORT -SENBAGAM MESS'!$B$5:$N$16,11,0)</f>
        <v>24155</v>
      </c>
      <c r="AM7" s="28">
        <f>VLOOKUP($B$6:$B$17,'REPORT -SENBAGAM MESS'!$B$5:$N$16,12,0)</f>
        <v>2017</v>
      </c>
      <c r="AN7" s="28">
        <f>VLOOKUP($B$6:$B$17,'REPORT -SENBAGAM MESS'!$B$5:$N$16,13,0)</f>
        <v>8.3502380459532191</v>
      </c>
      <c r="AO7" s="29">
        <f t="shared" ref="AO7:AO17" si="2">SUM(AE7+AH7+AK7+AN7/4)</f>
        <v>14.597718418789865</v>
      </c>
      <c r="AP7" s="28">
        <f>VLOOKUP($B$6:$B$17,'REPORT -J MESS'!$B$6:$N$17,2,0)</f>
        <v>24933</v>
      </c>
      <c r="AQ7" s="28">
        <f>VLOOKUP($B$6:$B$17,'REPORT -J MESS'!$B$6:$N$17,3,0)</f>
        <v>968</v>
      </c>
      <c r="AR7" s="28">
        <f>VLOOKUP($B$6:$B$17,'REPORT -J MESS'!$B$6:$N$17,4,0)</f>
        <v>3.8824048449845585</v>
      </c>
      <c r="AS7" s="28">
        <f>VLOOKUP($B$6:$B$17,'REPORT -J MESS'!$B$6:$N$17,5,0)</f>
        <v>29981</v>
      </c>
      <c r="AT7" s="28">
        <f>VLOOKUP($B$6:$B$17,'REPORT -J MESS'!$B$6:$N$17,6,0)</f>
        <v>2616</v>
      </c>
      <c r="AU7" s="28">
        <f>VLOOKUP($B$6:$B$17,'REPORT -J MESS'!$B$6:$N$17,7,0)</f>
        <v>8.7255261665721626</v>
      </c>
      <c r="AV7" s="28">
        <f>VLOOKUP($B$6:$B$17,'REPORT -J MESS'!$B$6:$N$17,8,0)</f>
        <v>32475</v>
      </c>
      <c r="AW7" s="28">
        <f>VLOOKUP($B$6:$B$17,'REPORT -J MESS'!$B$6:$N$17,9,0)</f>
        <v>0</v>
      </c>
      <c r="AX7" s="28" t="str">
        <f>VLOOKUP($B$6:$B$17,'REPORT -J MESS'!$B$6:$N$17,10,0)</f>
        <v>0</v>
      </c>
      <c r="AY7" s="28">
        <f>VLOOKUP($B$6:$B$17,'REPORT -J MESS'!$B$6:$N$17,11,0)</f>
        <v>32457</v>
      </c>
      <c r="AZ7" s="28">
        <f>VLOOKUP($B$6:$B$17,'REPORT -J MESS'!$B$6:$N$17,12,0)</f>
        <v>2750</v>
      </c>
      <c r="BA7" s="28">
        <f>VLOOKUP($B$6:$B$17,'REPORT -J MESS'!$B$6:$N$17,13,0)</f>
        <v>8.4727485596327448</v>
      </c>
      <c r="BB7" s="29">
        <f t="shared" ref="BB7:BB17" si="3">SUM(AR7+AU7+AX7+BA7/4)</f>
        <v>14.726118151464906</v>
      </c>
      <c r="BC7" s="28">
        <f>VLOOKUP($B$6:$B$17,'REPORT -MEENAKSHI MESS'!$B$5:$N$16,2,0)</f>
        <v>5100</v>
      </c>
      <c r="BD7" s="28">
        <f>VLOOKUP($B$6:$B$17,'REPORT -MEENAKSHI MESS'!$B$5:$N$16,3,0)</f>
        <v>119</v>
      </c>
      <c r="BE7" s="28">
        <f>VLOOKUP($B$6:$B$17,'REPORT -MEENAKSHI MESS'!$B$5:$N$16,4,0)</f>
        <v>2.3333333333333335</v>
      </c>
      <c r="BF7" s="28">
        <f>VLOOKUP($B$6:$B$17,'REPORT -MEENAKSHI MESS'!$B$5:$N$16,5,0)</f>
        <v>7038</v>
      </c>
      <c r="BG7" s="28">
        <f>VLOOKUP($B$6:$B$17,'REPORT -MEENAKSHI MESS'!$B$5:$N$16,6,0)</f>
        <v>387</v>
      </c>
      <c r="BH7" s="28">
        <f>VLOOKUP($B$6:$B$17,'REPORT -MEENAKSHI MESS'!$B$5:$N$16,7,0)</f>
        <v>5.4987212276214841</v>
      </c>
      <c r="BI7" s="28">
        <f>VLOOKUP($B$6:$B$17,'REPORT -MEENAKSHI MESS'!$B$5:$N$16,8,0)</f>
        <v>7324</v>
      </c>
      <c r="BJ7" s="28">
        <f>VLOOKUP($B$6:$B$17,'REPORT -MEENAKSHI MESS'!$B$5:$N$16,9,0)</f>
        <v>0</v>
      </c>
      <c r="BK7" s="28" t="str">
        <f>VLOOKUP($B$6:$B$17,'REPORT -MEENAKSHI MESS'!$B$5:$N$16,10,0)</f>
        <v>0</v>
      </c>
      <c r="BL7" s="28">
        <f>VLOOKUP($B$6:$B$17,'REPORT -MEENAKSHI MESS'!$B$5:$N$16,11,0)</f>
        <v>7272</v>
      </c>
      <c r="BM7" s="28">
        <f>VLOOKUP($B$6:$B$17,'REPORT -MEENAKSHI MESS'!$B$5:$N$16,12,0)</f>
        <v>400.5</v>
      </c>
      <c r="BN7" s="28">
        <f>VLOOKUP($B$6:$B$17,'REPORT -MEENAKSHI MESS'!$B$5:$N$16,13,0)</f>
        <v>5.5074257425742577</v>
      </c>
      <c r="BO7" s="29">
        <f t="shared" ref="BO7:BO17" si="4">SUM(BE7+BH7+BK7+BN7)/4</f>
        <v>3.3348700758822689</v>
      </c>
      <c r="BP7" s="28">
        <f>VLOOKUP($B$6:$B$17,'REPORT -STAFF MESS'!$B$5:$N$16,2,0)</f>
        <v>13951</v>
      </c>
      <c r="BQ7" s="28">
        <f>VLOOKUP($B$6:$B$17,'REPORT -STAFF MESS'!$B$5:$N$16,3,0)</f>
        <v>729</v>
      </c>
      <c r="BR7" s="28">
        <f>VLOOKUP($B$6:$B$17,'REPORT -STAFF MESS'!$B$5:$N$16,4,0)</f>
        <v>5.2254318686832484</v>
      </c>
      <c r="BS7" s="28">
        <f>VLOOKUP($B$6:$B$17,'REPORT -STAFF MESS'!$B$5:$N$16,5,0)</f>
        <v>22240</v>
      </c>
      <c r="BT7" s="28">
        <f>VLOOKUP($B$6:$B$17,'REPORT -STAFF MESS'!$B$5:$N$16,6,0)</f>
        <v>1567</v>
      </c>
      <c r="BU7" s="28">
        <f>VLOOKUP($B$6:$B$17,'REPORT -STAFF MESS'!$B$5:$N$16,7,0)</f>
        <v>7.0458633093525176</v>
      </c>
      <c r="BV7" s="28">
        <f>VLOOKUP($B$6:$B$17,'REPORT -STAFF MESS'!$B$5:$N$16,8,0)</f>
        <v>9990</v>
      </c>
      <c r="BW7" s="28">
        <f>VLOOKUP($B$6:$B$17,'REPORT -STAFF MESS'!$B$5:$N$16,9,0)</f>
        <v>0</v>
      </c>
      <c r="BX7" s="28" t="str">
        <f>VLOOKUP($B$6:$B$17,'REPORT -STAFF MESS'!$B$5:$N$16,10,0)</f>
        <v>0</v>
      </c>
      <c r="BY7" s="28">
        <f>VLOOKUP($B$6:$B$17,'REPORT -STAFF MESS'!$B$5:$N$16,11,0)</f>
        <v>9990</v>
      </c>
      <c r="BZ7" s="28">
        <f>VLOOKUP($B$6:$B$17,'REPORT -STAFF MESS'!$B$5:$N$16,12,0)</f>
        <v>590</v>
      </c>
      <c r="CA7" s="28">
        <f>VLOOKUP($B$6:$B$17,'REPORT -STAFF MESS'!$B$5:$N$16,13,0)</f>
        <v>5.9059059059059056</v>
      </c>
      <c r="CB7" s="35">
        <f t="shared" ref="CB7:CB17" si="5">SUM(BR7+BU7+BX7+CA7)/4</f>
        <v>4.5443002709854179</v>
      </c>
      <c r="CD7" s="24"/>
      <c r="CH7" s="24"/>
    </row>
    <row r="8" spans="1:86" x14ac:dyDescent="0.3">
      <c r="A8" s="26">
        <v>3</v>
      </c>
      <c r="B8" s="25" t="s">
        <v>7</v>
      </c>
      <c r="C8" s="28">
        <f>VLOOKUP($B$6:$B$17,'REPORT - SANNASI MESS'!$B$5:$N$16,2,0)</f>
        <v>23055</v>
      </c>
      <c r="D8" s="28">
        <f>VLOOKUP($B$6:$B$17,'REPORT - SANNASI MESS'!$B$5:$N$16,3,0)</f>
        <v>542</v>
      </c>
      <c r="E8" s="28">
        <f>VLOOKUP($B$6:$B$17,'REPORT - SANNASI MESS'!$B$5:$N$16,4,0)</f>
        <v>2.3509000216872695</v>
      </c>
      <c r="F8" s="28">
        <f>VLOOKUP($B$6:$B$17,'REPORT - SANNASI MESS'!$B$5:$N$16,5,0)</f>
        <v>30900</v>
      </c>
      <c r="G8" s="28">
        <f>VLOOKUP($B$6:$B$17,'REPORT - SANNASI MESS'!$B$5:$N$16,6,0)</f>
        <v>4729</v>
      </c>
      <c r="H8" s="28">
        <f>VLOOKUP($B$6:$B$17,'REPORT - SANNASI MESS'!$B$5:$N$16,7,0)</f>
        <v>15.3042071197411</v>
      </c>
      <c r="I8" s="28">
        <f>VLOOKUP($B$6:$B$17,'REPORT - SANNASI MESS'!$B$5:$N$16,8,0)</f>
        <v>29387</v>
      </c>
      <c r="J8" s="28">
        <f>VLOOKUP($B$6:$B$17,'REPORT - SANNASI MESS'!$B$5:$N$16,9,0)</f>
        <v>0</v>
      </c>
      <c r="K8" s="28" t="str">
        <f>VLOOKUP($B$6:$B$17,'REPORT - SANNASI MESS'!$B$5:$N$16,10,0)</f>
        <v>0</v>
      </c>
      <c r="L8" s="28">
        <f>VLOOKUP($B$6:$B$17,'REPORT - SANNASI MESS'!$B$5:$N$16,11,0)</f>
        <v>29387</v>
      </c>
      <c r="M8" s="28">
        <f>VLOOKUP($B$6:$B$17,'REPORT - SANNASI MESS'!$B$5:$N$16,12,0)</f>
        <v>5537</v>
      </c>
      <c r="N8" s="28">
        <f>VLOOKUP($B$6:$B$17,'REPORT - SANNASI MESS'!$B$5:$N$16,13,0)</f>
        <v>18.84166468166196</v>
      </c>
      <c r="O8" s="29">
        <f t="shared" si="0"/>
        <v>9.1241929557725818</v>
      </c>
      <c r="P8" s="28">
        <f>VLOOKUP($B$6:$B$17,'REPORT -D-MESS'!$B$5:$N$16,2,0)</f>
        <v>1360</v>
      </c>
      <c r="Q8" s="28">
        <f>VLOOKUP($B$6:$B$17,'REPORT -D-MESS'!$B$5:$N$16,3,0)</f>
        <v>15</v>
      </c>
      <c r="R8" s="28">
        <f>VLOOKUP($B$6:$B$17,'REPORT -D-MESS'!$B$5:$N$16,4,0)</f>
        <v>1.1029411764705883</v>
      </c>
      <c r="S8" s="28">
        <f>VLOOKUP($B$6:$B$17,'REPORT -D-MESS'!$B$5:$N$16,5,0)</f>
        <v>1655</v>
      </c>
      <c r="T8" s="28">
        <f>VLOOKUP($B$6:$B$17,'REPORT -D-MESS'!$B$5:$N$16,6,0)</f>
        <v>30</v>
      </c>
      <c r="U8" s="28">
        <f>VLOOKUP($B$6:$B$17,'REPORT -D-MESS'!$B$5:$N$16,7,0)</f>
        <v>1.8126888217522661</v>
      </c>
      <c r="V8" s="28">
        <f>VLOOKUP($B$6:$B$17,'REPORT -D-MESS'!$B$5:$N$16,8,0)</f>
        <v>840</v>
      </c>
      <c r="W8" s="28">
        <f>VLOOKUP($B$6:$B$17,'REPORT -D-MESS'!$B$5:$N$16,9,0)</f>
        <v>0</v>
      </c>
      <c r="X8" s="28" t="str">
        <f>VLOOKUP($B$6:$B$17,'REPORT -D-MESS'!$B$5:$N$16,10,0)</f>
        <v>0</v>
      </c>
      <c r="Y8" s="28">
        <f>VLOOKUP($B$6:$B$17,'REPORT -D-MESS'!$B$5:$N$16,11,0)</f>
        <v>840</v>
      </c>
      <c r="Z8" s="28">
        <f>VLOOKUP($B$6:$B$17,'REPORT -D-MESS'!$B$5:$N$16,12,0)</f>
        <v>0</v>
      </c>
      <c r="AA8" s="28">
        <f>VLOOKUP($B$6:$B$17,'REPORT -D-MESS'!$B$5:$N$16,13,0)</f>
        <v>0</v>
      </c>
      <c r="AB8" s="29">
        <f t="shared" si="1"/>
        <v>0.72890749955571366</v>
      </c>
      <c r="AC8" s="28">
        <f>VLOOKUP($B$6:$B$17,'REPORT -SENBAGAM MESS'!$B$5:$N$16,2,0)</f>
        <v>9630</v>
      </c>
      <c r="AD8" s="28">
        <f>VLOOKUP($B$6:$B$17,'REPORT -SENBAGAM MESS'!$B$5:$N$16,3,0)</f>
        <v>552</v>
      </c>
      <c r="AE8" s="28">
        <f>VLOOKUP($B$6:$B$17,'REPORT -SENBAGAM MESS'!$B$5:$N$16,4,0)</f>
        <v>5.73208722741433</v>
      </c>
      <c r="AF8" s="28">
        <f>VLOOKUP($B$6:$B$17,'REPORT -SENBAGAM MESS'!$B$5:$N$16,5,0)</f>
        <v>10435</v>
      </c>
      <c r="AG8" s="28">
        <f>VLOOKUP($B$6:$B$17,'REPORT -SENBAGAM MESS'!$B$5:$N$16,6,0)</f>
        <v>834</v>
      </c>
      <c r="AH8" s="28">
        <f>VLOOKUP($B$6:$B$17,'REPORT -SENBAGAM MESS'!$B$5:$N$16,7,0)</f>
        <v>7.9923334930522287</v>
      </c>
      <c r="AI8" s="28">
        <f>VLOOKUP($B$6:$B$17,'REPORT -SENBAGAM MESS'!$B$5:$N$16,8,0)</f>
        <v>11113</v>
      </c>
      <c r="AJ8" s="28">
        <f>VLOOKUP($B$6:$B$17,'REPORT -SENBAGAM MESS'!$B$5:$N$16,9,0)</f>
        <v>0</v>
      </c>
      <c r="AK8" s="28" t="str">
        <f>VLOOKUP($B$6:$B$17,'REPORT -SENBAGAM MESS'!$B$5:$N$16,10,0)</f>
        <v>0</v>
      </c>
      <c r="AL8" s="28">
        <f>VLOOKUP($B$6:$B$17,'REPORT -SENBAGAM MESS'!$B$5:$N$16,11,0)</f>
        <v>11048</v>
      </c>
      <c r="AM8" s="28">
        <f>VLOOKUP($B$6:$B$17,'REPORT -SENBAGAM MESS'!$B$5:$N$16,12,0)</f>
        <v>903</v>
      </c>
      <c r="AN8" s="28">
        <f>VLOOKUP($B$6:$B$17,'REPORT -SENBAGAM MESS'!$B$5:$N$16,13,0)</f>
        <v>8.1734250543084723</v>
      </c>
      <c r="AO8" s="29">
        <f t="shared" si="2"/>
        <v>15.767776984043676</v>
      </c>
      <c r="AP8" s="28">
        <f>VLOOKUP($B$6:$B$17,'REPORT -J MESS'!$B$6:$N$17,2,0)</f>
        <v>689</v>
      </c>
      <c r="AQ8" s="28">
        <f>VLOOKUP($B$6:$B$17,'REPORT -J MESS'!$B$6:$N$17,3,0)</f>
        <v>25</v>
      </c>
      <c r="AR8" s="28">
        <f>VLOOKUP($B$6:$B$17,'REPORT -J MESS'!$B$6:$N$17,4,0)</f>
        <v>3.6284470246734397</v>
      </c>
      <c r="AS8" s="28">
        <f>VLOOKUP($B$6:$B$17,'REPORT -J MESS'!$B$6:$N$17,5,0)</f>
        <v>767</v>
      </c>
      <c r="AT8" s="28">
        <f>VLOOKUP($B$6:$B$17,'REPORT -J MESS'!$B$6:$N$17,6,0)</f>
        <v>71</v>
      </c>
      <c r="AU8" s="28">
        <f>VLOOKUP($B$6:$B$17,'REPORT -J MESS'!$B$6:$N$17,7,0)</f>
        <v>9.256844850065189</v>
      </c>
      <c r="AV8" s="28">
        <f>VLOOKUP($B$6:$B$17,'REPORT -J MESS'!$B$6:$N$17,8,0)</f>
        <v>0</v>
      </c>
      <c r="AW8" s="28">
        <f>VLOOKUP($B$6:$B$17,'REPORT -J MESS'!$B$6:$N$17,9,0)</f>
        <v>0</v>
      </c>
      <c r="AX8" s="28" t="str">
        <f>VLOOKUP($B$6:$B$17,'REPORT -J MESS'!$B$6:$N$17,10,0)</f>
        <v>0</v>
      </c>
      <c r="AY8" s="28">
        <f>VLOOKUP($B$6:$B$17,'REPORT -J MESS'!$B$6:$N$17,11,0)</f>
        <v>0</v>
      </c>
      <c r="AZ8" s="28">
        <f>VLOOKUP($B$6:$B$17,'REPORT -J MESS'!$B$6:$N$17,12,0)</f>
        <v>0</v>
      </c>
      <c r="BA8" s="28" t="str">
        <f>VLOOKUP($B$6:$B$17,'REPORT -J MESS'!$B$6:$N$17,13,0)</f>
        <v>0</v>
      </c>
      <c r="BB8" s="29">
        <f t="shared" si="3"/>
        <v>12.885291874738629</v>
      </c>
      <c r="BC8" s="28">
        <f>VLOOKUP($B$6:$B$17,'REPORT -MEENAKSHI MESS'!$B$5:$N$16,2,0)</f>
        <v>3090</v>
      </c>
      <c r="BD8" s="28">
        <f>VLOOKUP($B$6:$B$17,'REPORT -MEENAKSHI MESS'!$B$5:$N$16,3,0)</f>
        <v>126</v>
      </c>
      <c r="BE8" s="28">
        <f>VLOOKUP($B$6:$B$17,'REPORT -MEENAKSHI MESS'!$B$5:$N$16,4,0)</f>
        <v>4.0776699029126213</v>
      </c>
      <c r="BF8" s="28">
        <f>VLOOKUP($B$6:$B$17,'REPORT -MEENAKSHI MESS'!$B$5:$N$16,5,0)</f>
        <v>3286</v>
      </c>
      <c r="BG8" s="28">
        <f>VLOOKUP($B$6:$B$17,'REPORT -MEENAKSHI MESS'!$B$5:$N$16,6,0)</f>
        <v>317.5</v>
      </c>
      <c r="BH8" s="28">
        <f>VLOOKUP($B$6:$B$17,'REPORT -MEENAKSHI MESS'!$B$5:$N$16,7,0)</f>
        <v>9.6622032866707244</v>
      </c>
      <c r="BI8" s="28">
        <f>VLOOKUP($B$6:$B$17,'REPORT -MEENAKSHI MESS'!$B$5:$N$16,8,0)</f>
        <v>3314</v>
      </c>
      <c r="BJ8" s="28">
        <f>VLOOKUP($B$6:$B$17,'REPORT -MEENAKSHI MESS'!$B$5:$N$16,9,0)</f>
        <v>0</v>
      </c>
      <c r="BK8" s="28" t="str">
        <f>VLOOKUP($B$6:$B$17,'REPORT -MEENAKSHI MESS'!$B$5:$N$16,10,0)</f>
        <v>0</v>
      </c>
      <c r="BL8" s="28">
        <f>VLOOKUP($B$6:$B$17,'REPORT -MEENAKSHI MESS'!$B$5:$N$16,11,0)</f>
        <v>3311</v>
      </c>
      <c r="BM8" s="28">
        <f>VLOOKUP($B$6:$B$17,'REPORT -MEENAKSHI MESS'!$B$5:$N$16,12,0)</f>
        <v>352</v>
      </c>
      <c r="BN8" s="28">
        <f>VLOOKUP($B$6:$B$17,'REPORT -MEENAKSHI MESS'!$B$5:$N$16,13,0)</f>
        <v>10.631229235880399</v>
      </c>
      <c r="BO8" s="29">
        <f t="shared" si="4"/>
        <v>6.0927756063659366</v>
      </c>
      <c r="BP8" s="28">
        <f>VLOOKUP($B$6:$B$17,'REPORT -STAFF MESS'!$B$5:$N$16,2,0)</f>
        <v>18063</v>
      </c>
      <c r="BQ8" s="28">
        <f>VLOOKUP($B$6:$B$17,'REPORT -STAFF MESS'!$B$5:$N$16,3,0)</f>
        <v>902</v>
      </c>
      <c r="BR8" s="28">
        <f>VLOOKUP($B$6:$B$17,'REPORT -STAFF MESS'!$B$5:$N$16,4,0)</f>
        <v>4.9936333942313018</v>
      </c>
      <c r="BS8" s="28">
        <f>VLOOKUP($B$6:$B$17,'REPORT -STAFF MESS'!$B$5:$N$16,5,0)</f>
        <v>23297</v>
      </c>
      <c r="BT8" s="28">
        <f>VLOOKUP($B$6:$B$17,'REPORT -STAFF MESS'!$B$5:$N$16,6,0)</f>
        <v>1630</v>
      </c>
      <c r="BU8" s="28">
        <f>VLOOKUP($B$6:$B$17,'REPORT -STAFF MESS'!$B$5:$N$16,7,0)</f>
        <v>6.9966090054513455</v>
      </c>
      <c r="BV8" s="28">
        <f>VLOOKUP($B$6:$B$17,'REPORT -STAFF MESS'!$B$5:$N$16,8,0)</f>
        <v>12504</v>
      </c>
      <c r="BW8" s="28">
        <f>VLOOKUP($B$6:$B$17,'REPORT -STAFF MESS'!$B$5:$N$16,9,0)</f>
        <v>0</v>
      </c>
      <c r="BX8" s="28" t="str">
        <f>VLOOKUP($B$6:$B$17,'REPORT -STAFF MESS'!$B$5:$N$16,10,0)</f>
        <v>0</v>
      </c>
      <c r="BY8" s="28">
        <f>VLOOKUP($B$6:$B$17,'REPORT -STAFF MESS'!$B$5:$N$16,11,0)</f>
        <v>12539</v>
      </c>
      <c r="BZ8" s="28">
        <f>VLOOKUP($B$6:$B$17,'REPORT -STAFF MESS'!$B$5:$N$16,12,0)</f>
        <v>714</v>
      </c>
      <c r="CA8" s="28">
        <f>VLOOKUP($B$6:$B$17,'REPORT -STAFF MESS'!$B$5:$N$16,13,0)</f>
        <v>5.6942339899513517</v>
      </c>
      <c r="CB8" s="35">
        <f t="shared" si="5"/>
        <v>4.4211190974085</v>
      </c>
      <c r="CD8" s="24"/>
      <c r="CH8" s="24"/>
    </row>
    <row r="9" spans="1:86" x14ac:dyDescent="0.3">
      <c r="A9" s="26">
        <v>4</v>
      </c>
      <c r="B9" s="25" t="s">
        <v>8</v>
      </c>
      <c r="C9" s="28">
        <f>VLOOKUP($B$6:$B$17,'REPORT - SANNASI MESS'!$B$5:$N$16,2,0)</f>
        <v>12800</v>
      </c>
      <c r="D9" s="28">
        <f>VLOOKUP($B$6:$B$17,'REPORT - SANNASI MESS'!$B$5:$N$16,3,0)</f>
        <v>1483</v>
      </c>
      <c r="E9" s="28">
        <f>VLOOKUP($B$6:$B$17,'REPORT - SANNASI MESS'!$B$5:$N$16,4,0)</f>
        <v>11.5859375</v>
      </c>
      <c r="F9" s="28">
        <f>VLOOKUP($B$6:$B$17,'REPORT - SANNASI MESS'!$B$5:$N$16,5,0)</f>
        <v>13840</v>
      </c>
      <c r="G9" s="28">
        <f>VLOOKUP($B$6:$B$17,'REPORT - SANNASI MESS'!$B$5:$N$16,6,0)</f>
        <v>2564</v>
      </c>
      <c r="H9" s="28">
        <f>VLOOKUP($B$6:$B$17,'REPORT - SANNASI MESS'!$B$5:$N$16,7,0)</f>
        <v>18.526011560693643</v>
      </c>
      <c r="I9" s="28">
        <f>VLOOKUP($B$6:$B$17,'REPORT - SANNASI MESS'!$B$5:$N$16,8,0)</f>
        <v>13830</v>
      </c>
      <c r="J9" s="28">
        <f>VLOOKUP($B$6:$B$17,'REPORT - SANNASI MESS'!$B$5:$N$16,9,0)</f>
        <v>0</v>
      </c>
      <c r="K9" s="28" t="str">
        <f>VLOOKUP($B$6:$B$17,'REPORT - SANNASI MESS'!$B$5:$N$16,10,0)</f>
        <v>0</v>
      </c>
      <c r="L9" s="28">
        <f>VLOOKUP($B$6:$B$17,'REPORT - SANNASI MESS'!$B$5:$N$16,11,0)</f>
        <v>13930</v>
      </c>
      <c r="M9" s="28">
        <f>VLOOKUP($B$6:$B$17,'REPORT - SANNASI MESS'!$B$5:$N$16,12,0)</f>
        <v>2478</v>
      </c>
      <c r="N9" s="28">
        <f>VLOOKUP($B$6:$B$17,'REPORT - SANNASI MESS'!$B$5:$N$16,13,0)</f>
        <v>17.788944723618091</v>
      </c>
      <c r="O9" s="29">
        <f t="shared" si="0"/>
        <v>11.975223446077933</v>
      </c>
      <c r="P9" s="28">
        <f>VLOOKUP($B$6:$B$17,'REPORT -D-MESS'!$B$5:$N$16,2,0)</f>
        <v>12465</v>
      </c>
      <c r="Q9" s="28">
        <f>VLOOKUP($B$6:$B$17,'REPORT -D-MESS'!$B$5:$N$16,3,0)</f>
        <v>408</v>
      </c>
      <c r="R9" s="28">
        <f>VLOOKUP($B$6:$B$17,'REPORT -D-MESS'!$B$5:$N$16,4,0)</f>
        <v>3.2731648616125151</v>
      </c>
      <c r="S9" s="28">
        <f>VLOOKUP($B$6:$B$17,'REPORT -D-MESS'!$B$5:$N$16,5,0)</f>
        <v>19740</v>
      </c>
      <c r="T9" s="28">
        <f>VLOOKUP($B$6:$B$17,'REPORT -D-MESS'!$B$5:$N$16,6,0)</f>
        <v>1095</v>
      </c>
      <c r="U9" s="28">
        <f>VLOOKUP($B$6:$B$17,'REPORT -D-MESS'!$B$5:$N$16,7,0)</f>
        <v>5.547112462006079</v>
      </c>
      <c r="V9" s="28">
        <f>VLOOKUP($B$6:$B$17,'REPORT -D-MESS'!$B$5:$N$16,8,0)</f>
        <v>21090</v>
      </c>
      <c r="W9" s="28">
        <f>VLOOKUP($B$6:$B$17,'REPORT -D-MESS'!$B$5:$N$16,9,0)</f>
        <v>0</v>
      </c>
      <c r="X9" s="28" t="str">
        <f>VLOOKUP($B$6:$B$17,'REPORT -D-MESS'!$B$5:$N$16,10,0)</f>
        <v>0</v>
      </c>
      <c r="Y9" s="28">
        <f>VLOOKUP($B$6:$B$17,'REPORT -D-MESS'!$B$5:$N$16,11,0)</f>
        <v>21090</v>
      </c>
      <c r="Z9" s="28">
        <f>VLOOKUP($B$6:$B$17,'REPORT -D-MESS'!$B$5:$N$16,12,0)</f>
        <v>1117</v>
      </c>
      <c r="AA9" s="28">
        <f>VLOOKUP($B$6:$B$17,'REPORT -D-MESS'!$B$5:$N$16,13,0)</f>
        <v>5.2963489805595065</v>
      </c>
      <c r="AB9" s="29">
        <f t="shared" si="1"/>
        <v>3.5291565760445254</v>
      </c>
      <c r="AC9" s="28">
        <f>VLOOKUP($B$6:$B$17,'REPORT -SENBAGAM MESS'!$B$5:$N$16,2,0)</f>
        <v>18070</v>
      </c>
      <c r="AD9" s="28">
        <f>VLOOKUP($B$6:$B$17,'REPORT -SENBAGAM MESS'!$B$5:$N$16,3,0)</f>
        <v>692</v>
      </c>
      <c r="AE9" s="28">
        <f>VLOOKUP($B$6:$B$17,'REPORT -SENBAGAM MESS'!$B$5:$N$16,4,0)</f>
        <v>3.8295517432208084</v>
      </c>
      <c r="AF9" s="28">
        <f>VLOOKUP($B$6:$B$17,'REPORT -SENBAGAM MESS'!$B$5:$N$16,5,0)</f>
        <v>20685</v>
      </c>
      <c r="AG9" s="28">
        <f>VLOOKUP($B$6:$B$17,'REPORT -SENBAGAM MESS'!$B$5:$N$16,6,0)</f>
        <v>983</v>
      </c>
      <c r="AH9" s="28">
        <f>VLOOKUP($B$6:$B$17,'REPORT -SENBAGAM MESS'!$B$5:$N$16,7,0)</f>
        <v>4.7522359197486104</v>
      </c>
      <c r="AI9" s="28">
        <f>VLOOKUP($B$6:$B$17,'REPORT -SENBAGAM MESS'!$B$5:$N$16,8,0)</f>
        <v>22218</v>
      </c>
      <c r="AJ9" s="28">
        <f>VLOOKUP($B$6:$B$17,'REPORT -SENBAGAM MESS'!$B$5:$N$16,9,0)</f>
        <v>0</v>
      </c>
      <c r="AK9" s="28" t="str">
        <f>VLOOKUP($B$6:$B$17,'REPORT -SENBAGAM MESS'!$B$5:$N$16,10,0)</f>
        <v>0</v>
      </c>
      <c r="AL9" s="28">
        <f>VLOOKUP($B$6:$B$17,'REPORT -SENBAGAM MESS'!$B$5:$N$16,11,0)</f>
        <v>22218</v>
      </c>
      <c r="AM9" s="28">
        <f>VLOOKUP($B$6:$B$17,'REPORT -SENBAGAM MESS'!$B$5:$N$16,12,0)</f>
        <v>1171</v>
      </c>
      <c r="AN9" s="28">
        <f>VLOOKUP($B$6:$B$17,'REPORT -SENBAGAM MESS'!$B$5:$N$16,13,0)</f>
        <v>5.2705013952651001</v>
      </c>
      <c r="AO9" s="29">
        <f t="shared" si="2"/>
        <v>9.8994130117856933</v>
      </c>
      <c r="AP9" s="28">
        <f>VLOOKUP($B$6:$B$17,'REPORT -J MESS'!$B$6:$N$17,2,0)</f>
        <v>13142</v>
      </c>
      <c r="AQ9" s="28">
        <f>VLOOKUP($B$6:$B$17,'REPORT -J MESS'!$B$6:$N$17,3,0)</f>
        <v>346</v>
      </c>
      <c r="AR9" s="28">
        <f>VLOOKUP($B$6:$B$17,'REPORT -J MESS'!$B$6:$N$17,4,0)</f>
        <v>2.632780398721656</v>
      </c>
      <c r="AS9" s="28">
        <f>VLOOKUP($B$6:$B$17,'REPORT -J MESS'!$B$6:$N$17,5,0)</f>
        <v>23067</v>
      </c>
      <c r="AT9" s="28">
        <f>VLOOKUP($B$6:$B$17,'REPORT -J MESS'!$B$6:$N$17,6,0)</f>
        <v>1914</v>
      </c>
      <c r="AU9" s="28">
        <f>VLOOKUP($B$6:$B$17,'REPORT -J MESS'!$B$6:$N$17,7,0)</f>
        <v>8.297567954220316</v>
      </c>
      <c r="AV9" s="28">
        <f>VLOOKUP($B$6:$B$17,'REPORT -J MESS'!$B$6:$N$17,8,0)</f>
        <v>24442</v>
      </c>
      <c r="AW9" s="28">
        <f>VLOOKUP($B$6:$B$17,'REPORT -J MESS'!$B$6:$N$17,9,0)</f>
        <v>0</v>
      </c>
      <c r="AX9" s="28" t="str">
        <f>VLOOKUP($B$6:$B$17,'REPORT -J MESS'!$B$6:$N$17,10,0)</f>
        <v>0</v>
      </c>
      <c r="AY9" s="28">
        <f>VLOOKUP($B$6:$B$17,'REPORT -J MESS'!$B$6:$N$17,11,0)</f>
        <v>24442</v>
      </c>
      <c r="AZ9" s="28">
        <f>VLOOKUP($B$6:$B$17,'REPORT -J MESS'!$B$6:$N$17,12,0)</f>
        <v>1990</v>
      </c>
      <c r="BA9" s="28">
        <f>VLOOKUP($B$6:$B$17,'REPORT -J MESS'!$B$6:$N$17,13,0)</f>
        <v>8.1417232632354146</v>
      </c>
      <c r="BB9" s="29">
        <f t="shared" si="3"/>
        <v>12.965779168750826</v>
      </c>
      <c r="BC9" s="28">
        <f>VLOOKUP($B$6:$B$17,'REPORT -MEENAKSHI MESS'!$B$5:$N$16,2,0)</f>
        <v>1175</v>
      </c>
      <c r="BD9" s="28">
        <f>VLOOKUP($B$6:$B$17,'REPORT -MEENAKSHI MESS'!$B$5:$N$16,3,0)</f>
        <v>83</v>
      </c>
      <c r="BE9" s="28">
        <f>VLOOKUP($B$6:$B$17,'REPORT -MEENAKSHI MESS'!$B$5:$N$16,4,0)</f>
        <v>7.0638297872340425</v>
      </c>
      <c r="BF9" s="28">
        <f>VLOOKUP($B$6:$B$17,'REPORT -MEENAKSHI MESS'!$B$5:$N$16,5,0)</f>
        <v>1258</v>
      </c>
      <c r="BG9" s="28">
        <f>VLOOKUP($B$6:$B$17,'REPORT -MEENAKSHI MESS'!$B$5:$N$16,6,0)</f>
        <v>177.5</v>
      </c>
      <c r="BH9" s="28">
        <f>VLOOKUP($B$6:$B$17,'REPORT -MEENAKSHI MESS'!$B$5:$N$16,7,0)</f>
        <v>14.109697933227345</v>
      </c>
      <c r="BI9" s="28">
        <f>VLOOKUP($B$6:$B$17,'REPORT -MEENAKSHI MESS'!$B$5:$N$16,8,0)</f>
        <v>1326</v>
      </c>
      <c r="BJ9" s="28">
        <f>VLOOKUP($B$6:$B$17,'REPORT -MEENAKSHI MESS'!$B$5:$N$16,9,0)</f>
        <v>0</v>
      </c>
      <c r="BK9" s="28" t="str">
        <f>VLOOKUP($B$6:$B$17,'REPORT -MEENAKSHI MESS'!$B$5:$N$16,10,0)</f>
        <v>0</v>
      </c>
      <c r="BL9" s="28">
        <f>VLOOKUP($B$6:$B$17,'REPORT -MEENAKSHI MESS'!$B$5:$N$16,11,0)</f>
        <v>1161</v>
      </c>
      <c r="BM9" s="28">
        <f>VLOOKUP($B$6:$B$17,'REPORT -MEENAKSHI MESS'!$B$5:$N$16,12,0)</f>
        <v>145</v>
      </c>
      <c r="BN9" s="28">
        <f>VLOOKUP($B$6:$B$17,'REPORT -MEENAKSHI MESS'!$B$5:$N$16,13,0)</f>
        <v>12.489233419465979</v>
      </c>
      <c r="BO9" s="29">
        <f t="shared" si="4"/>
        <v>8.4156902849818422</v>
      </c>
      <c r="BP9" s="28">
        <f>VLOOKUP($B$6:$B$17,'REPORT -STAFF MESS'!$B$5:$N$16,2,0)</f>
        <v>24139</v>
      </c>
      <c r="BQ9" s="28">
        <f>VLOOKUP($B$6:$B$17,'REPORT -STAFF MESS'!$B$5:$N$16,3,0)</f>
        <v>1064</v>
      </c>
      <c r="BR9" s="28">
        <f>VLOOKUP($B$6:$B$17,'REPORT -STAFF MESS'!$B$5:$N$16,4,0)</f>
        <v>4.4078047972161238</v>
      </c>
      <c r="BS9" s="28">
        <f>VLOOKUP($B$6:$B$17,'REPORT -STAFF MESS'!$B$5:$N$16,5,0)</f>
        <v>27619</v>
      </c>
      <c r="BT9" s="28">
        <f>VLOOKUP($B$6:$B$17,'REPORT -STAFF MESS'!$B$5:$N$16,6,0)</f>
        <v>1694</v>
      </c>
      <c r="BU9" s="28">
        <f>VLOOKUP($B$6:$B$17,'REPORT -STAFF MESS'!$B$5:$N$16,7,0)</f>
        <v>6.1334588507911221</v>
      </c>
      <c r="BV9" s="28">
        <f>VLOOKUP($B$6:$B$17,'REPORT -STAFF MESS'!$B$5:$N$16,8,0)</f>
        <v>18746</v>
      </c>
      <c r="BW9" s="28">
        <f>VLOOKUP($B$6:$B$17,'REPORT -STAFF MESS'!$B$5:$N$16,9,0)</f>
        <v>0</v>
      </c>
      <c r="BX9" s="28" t="str">
        <f>VLOOKUP($B$6:$B$17,'REPORT -STAFF MESS'!$B$5:$N$16,10,0)</f>
        <v>0</v>
      </c>
      <c r="BY9" s="28">
        <f>VLOOKUP($B$6:$B$17,'REPORT -STAFF MESS'!$B$5:$N$16,11,0)</f>
        <v>18746</v>
      </c>
      <c r="BZ9" s="28">
        <f>VLOOKUP($B$6:$B$17,'REPORT -STAFF MESS'!$B$5:$N$16,12,0)</f>
        <v>812</v>
      </c>
      <c r="CA9" s="28">
        <f>VLOOKUP($B$6:$B$17,'REPORT -STAFF MESS'!$B$5:$N$16,13,0)</f>
        <v>4.33159073935773</v>
      </c>
      <c r="CB9" s="35">
        <f t="shared" si="5"/>
        <v>3.7182135968412435</v>
      </c>
      <c r="CD9" s="24"/>
      <c r="CH9" s="24"/>
    </row>
    <row r="10" spans="1:86" x14ac:dyDescent="0.3">
      <c r="A10" s="26">
        <v>5</v>
      </c>
      <c r="B10" s="25" t="s">
        <v>9</v>
      </c>
      <c r="C10" s="28">
        <f>VLOOKUP($B$6:$B$17,'REPORT - SANNASI MESS'!$B$5:$N$16,2,0)</f>
        <v>78261</v>
      </c>
      <c r="D10" s="28">
        <f>VLOOKUP($B$6:$B$17,'REPORT - SANNASI MESS'!$B$5:$N$16,3,0)</f>
        <v>1147</v>
      </c>
      <c r="E10" s="28">
        <f>VLOOKUP($B$6:$B$17,'REPORT - SANNASI MESS'!$B$5:$N$16,4,0)</f>
        <v>1.4656086684299972</v>
      </c>
      <c r="F10" s="28">
        <f>VLOOKUP($B$6:$B$17,'REPORT - SANNASI MESS'!$B$5:$N$16,5,0)</f>
        <v>148950</v>
      </c>
      <c r="G10" s="28">
        <f>VLOOKUP($B$6:$B$17,'REPORT - SANNASI MESS'!$B$5:$N$16,6,0)</f>
        <v>4944</v>
      </c>
      <c r="H10" s="28">
        <f>VLOOKUP($B$6:$B$17,'REPORT - SANNASI MESS'!$B$5:$N$16,7,0)</f>
        <v>3.3192346424974826</v>
      </c>
      <c r="I10" s="28">
        <f>VLOOKUP($B$6:$B$17,'REPORT - SANNASI MESS'!$B$5:$N$16,8,0)</f>
        <v>155693</v>
      </c>
      <c r="J10" s="28">
        <f>VLOOKUP($B$6:$B$17,'REPORT - SANNASI MESS'!$B$5:$N$16,9,0)</f>
        <v>0</v>
      </c>
      <c r="K10" s="28" t="str">
        <f>VLOOKUP($B$6:$B$17,'REPORT - SANNASI MESS'!$B$5:$N$16,10,0)</f>
        <v>0</v>
      </c>
      <c r="L10" s="28">
        <f>VLOOKUP($B$6:$B$17,'REPORT - SANNASI MESS'!$B$5:$N$16,11,0)</f>
        <v>161800</v>
      </c>
      <c r="M10" s="28">
        <f>VLOOKUP($B$6:$B$17,'REPORT - SANNASI MESS'!$B$5:$N$16,12,0)</f>
        <v>5520</v>
      </c>
      <c r="N10" s="28">
        <f>VLOOKUP($B$6:$B$17,'REPORT - SANNASI MESS'!$B$5:$N$16,13,0)</f>
        <v>3.4116192830655132</v>
      </c>
      <c r="O10" s="29">
        <f t="shared" si="0"/>
        <v>2.0491156484982485</v>
      </c>
      <c r="P10" s="28">
        <f>VLOOKUP($B$6:$B$17,'REPORT -D-MESS'!$B$5:$N$16,2,0)</f>
        <v>24580</v>
      </c>
      <c r="Q10" s="28">
        <f>VLOOKUP($B$6:$B$17,'REPORT -D-MESS'!$B$5:$N$16,3,0)</f>
        <v>1181</v>
      </c>
      <c r="R10" s="28">
        <f>VLOOKUP($B$6:$B$17,'REPORT -D-MESS'!$B$5:$N$16,4,0)</f>
        <v>4.8047192839707078</v>
      </c>
      <c r="S10" s="28">
        <f>VLOOKUP($B$6:$B$17,'REPORT -D-MESS'!$B$5:$N$16,5,0)</f>
        <v>40135</v>
      </c>
      <c r="T10" s="28">
        <f>VLOOKUP($B$6:$B$17,'REPORT -D-MESS'!$B$5:$N$16,6,0)</f>
        <v>2453</v>
      </c>
      <c r="U10" s="28">
        <f>VLOOKUP($B$6:$B$17,'REPORT -D-MESS'!$B$5:$N$16,7,0)</f>
        <v>6.1118724305469048</v>
      </c>
      <c r="V10" s="28">
        <f>VLOOKUP($B$6:$B$17,'REPORT -D-MESS'!$B$5:$N$16,8,0)</f>
        <v>43220</v>
      </c>
      <c r="W10" s="28">
        <f>VLOOKUP($B$6:$B$17,'REPORT -D-MESS'!$B$5:$N$16,9,0)</f>
        <v>0</v>
      </c>
      <c r="X10" s="28" t="str">
        <f>VLOOKUP($B$6:$B$17,'REPORT -D-MESS'!$B$5:$N$16,10,0)</f>
        <v>0</v>
      </c>
      <c r="Y10" s="28">
        <f>VLOOKUP($B$6:$B$17,'REPORT -D-MESS'!$B$5:$N$16,11,0)</f>
        <v>43100</v>
      </c>
      <c r="Z10" s="28">
        <f>VLOOKUP($B$6:$B$17,'REPORT -D-MESS'!$B$5:$N$16,12,0)</f>
        <v>2479</v>
      </c>
      <c r="AA10" s="28">
        <f>VLOOKUP($B$6:$B$17,'REPORT -D-MESS'!$B$5:$N$16,13,0)</f>
        <v>5.7517401392111367</v>
      </c>
      <c r="AB10" s="29">
        <f t="shared" si="1"/>
        <v>4.1670829634321871</v>
      </c>
      <c r="AC10" s="28">
        <f>VLOOKUP($B$6:$B$17,'REPORT -SENBAGAM MESS'!$B$5:$N$16,2,0)</f>
        <v>28621</v>
      </c>
      <c r="AD10" s="28">
        <f>VLOOKUP($B$6:$B$17,'REPORT -SENBAGAM MESS'!$B$5:$N$16,3,0)</f>
        <v>926</v>
      </c>
      <c r="AE10" s="28">
        <f>VLOOKUP($B$6:$B$17,'REPORT -SENBAGAM MESS'!$B$5:$N$16,4,0)</f>
        <v>3.2353866042416404</v>
      </c>
      <c r="AF10" s="28">
        <f>VLOOKUP($B$6:$B$17,'REPORT -SENBAGAM MESS'!$B$5:$N$16,5,0)</f>
        <v>33720</v>
      </c>
      <c r="AG10" s="28">
        <f>VLOOKUP($B$6:$B$17,'REPORT -SENBAGAM MESS'!$B$5:$N$16,6,0)</f>
        <v>1180</v>
      </c>
      <c r="AH10" s="28">
        <f>VLOOKUP($B$6:$B$17,'REPORT -SENBAGAM MESS'!$B$5:$N$16,7,0)</f>
        <v>3.499406880189798</v>
      </c>
      <c r="AI10" s="28">
        <f>VLOOKUP($B$6:$B$17,'REPORT -SENBAGAM MESS'!$B$5:$N$16,8,0)</f>
        <v>37262</v>
      </c>
      <c r="AJ10" s="28">
        <f>VLOOKUP($B$6:$B$17,'REPORT -SENBAGAM MESS'!$B$5:$N$16,9,0)</f>
        <v>0</v>
      </c>
      <c r="AK10" s="28" t="str">
        <f>VLOOKUP($B$6:$B$17,'REPORT -SENBAGAM MESS'!$B$5:$N$16,10,0)</f>
        <v>0</v>
      </c>
      <c r="AL10" s="28">
        <f>VLOOKUP($B$6:$B$17,'REPORT -SENBAGAM MESS'!$B$5:$N$16,11,0)</f>
        <v>37262</v>
      </c>
      <c r="AM10" s="28">
        <f>VLOOKUP($B$6:$B$17,'REPORT -SENBAGAM MESS'!$B$5:$N$16,12,0)</f>
        <v>1454</v>
      </c>
      <c r="AN10" s="28">
        <f>VLOOKUP($B$6:$B$17,'REPORT -SENBAGAM MESS'!$B$5:$N$16,13,0)</f>
        <v>3.9020986527829962</v>
      </c>
      <c r="AO10" s="29">
        <f t="shared" si="2"/>
        <v>7.7103181476271878</v>
      </c>
      <c r="AP10" s="28">
        <f>VLOOKUP($B$6:$B$17,'REPORT -J MESS'!$B$6:$N$17,2,0)</f>
        <v>27526</v>
      </c>
      <c r="AQ10" s="28">
        <f>VLOOKUP($B$6:$B$17,'REPORT -J MESS'!$B$6:$N$17,3,0)</f>
        <v>959</v>
      </c>
      <c r="AR10" s="28">
        <f>VLOOKUP($B$6:$B$17,'REPORT -J MESS'!$B$6:$N$17,4,0)</f>
        <v>3.4839787836954157</v>
      </c>
      <c r="AS10" s="28">
        <f>VLOOKUP($B$6:$B$17,'REPORT -J MESS'!$B$6:$N$17,5,0)</f>
        <v>43960</v>
      </c>
      <c r="AT10" s="28">
        <f>VLOOKUP($B$6:$B$17,'REPORT -J MESS'!$B$6:$N$17,6,0)</f>
        <v>1420</v>
      </c>
      <c r="AU10" s="28">
        <f>VLOOKUP($B$6:$B$17,'REPORT -J MESS'!$B$6:$N$17,7,0)</f>
        <v>3.230209281164695</v>
      </c>
      <c r="AV10" s="28">
        <f>VLOOKUP($B$6:$B$17,'REPORT -J MESS'!$B$6:$N$17,8,0)</f>
        <v>45974</v>
      </c>
      <c r="AW10" s="28">
        <f>VLOOKUP($B$6:$B$17,'REPORT -J MESS'!$B$6:$N$17,9,0)</f>
        <v>0</v>
      </c>
      <c r="AX10" s="28" t="str">
        <f>VLOOKUP($B$6:$B$17,'REPORT -J MESS'!$B$6:$N$17,10,0)</f>
        <v>0</v>
      </c>
      <c r="AY10" s="28">
        <f>VLOOKUP($B$6:$B$17,'REPORT -J MESS'!$B$6:$N$17,11,0)</f>
        <v>45974</v>
      </c>
      <c r="AZ10" s="28">
        <f>VLOOKUP($B$6:$B$17,'REPORT -J MESS'!$B$6:$N$17,12,0)</f>
        <v>1552</v>
      </c>
      <c r="BA10" s="28">
        <f>VLOOKUP($B$6:$B$17,'REPORT -J MESS'!$B$6:$N$17,13,0)</f>
        <v>3.3758211162831167</v>
      </c>
      <c r="BB10" s="29">
        <f t="shared" si="3"/>
        <v>7.5581433439308894</v>
      </c>
      <c r="BC10" s="28">
        <f>VLOOKUP($B$6:$B$17,'REPORT -MEENAKSHI MESS'!$B$5:$N$16,2,0)</f>
        <v>9722</v>
      </c>
      <c r="BD10" s="28">
        <f>VLOOKUP($B$6:$B$17,'REPORT -MEENAKSHI MESS'!$B$5:$N$16,3,0)</f>
        <v>198.5</v>
      </c>
      <c r="BE10" s="28">
        <f>VLOOKUP($B$6:$B$17,'REPORT -MEENAKSHI MESS'!$B$5:$N$16,4,0)</f>
        <v>2.0417609545361035</v>
      </c>
      <c r="BF10" s="28">
        <f>VLOOKUP($B$6:$B$17,'REPORT -MEENAKSHI MESS'!$B$5:$N$16,5,0)</f>
        <v>10815</v>
      </c>
      <c r="BG10" s="28">
        <f>VLOOKUP($B$6:$B$17,'REPORT -MEENAKSHI MESS'!$B$5:$N$16,6,0)</f>
        <v>269.5</v>
      </c>
      <c r="BH10" s="28">
        <f>VLOOKUP($B$6:$B$17,'REPORT -MEENAKSHI MESS'!$B$5:$N$16,7,0)</f>
        <v>2.4919093851132685</v>
      </c>
      <c r="BI10" s="28">
        <f>VLOOKUP($B$6:$B$17,'REPORT -MEENAKSHI MESS'!$B$5:$N$16,8,0)</f>
        <v>11822</v>
      </c>
      <c r="BJ10" s="28">
        <f>VLOOKUP($B$6:$B$17,'REPORT -MEENAKSHI MESS'!$B$5:$N$16,9,0)</f>
        <v>0</v>
      </c>
      <c r="BK10" s="28" t="str">
        <f>VLOOKUP($B$6:$B$17,'REPORT -MEENAKSHI MESS'!$B$5:$N$16,10,0)</f>
        <v>0</v>
      </c>
      <c r="BL10" s="28">
        <f>VLOOKUP($B$6:$B$17,'REPORT -MEENAKSHI MESS'!$B$5:$N$16,11,0)</f>
        <v>11822</v>
      </c>
      <c r="BM10" s="28">
        <f>VLOOKUP($B$6:$B$17,'REPORT -MEENAKSHI MESS'!$B$5:$N$16,12,0)</f>
        <v>275.5</v>
      </c>
      <c r="BN10" s="28">
        <f>VLOOKUP($B$6:$B$17,'REPORT -MEENAKSHI MESS'!$B$5:$N$16,13,0)</f>
        <v>2.330400947386229</v>
      </c>
      <c r="BO10" s="29">
        <f t="shared" si="4"/>
        <v>1.7160178217589004</v>
      </c>
      <c r="BP10" s="28">
        <f>VLOOKUP($B$6:$B$17,'REPORT -STAFF MESS'!$B$5:$N$16,2,0)</f>
        <v>24507</v>
      </c>
      <c r="BQ10" s="28">
        <f>VLOOKUP($B$6:$B$17,'REPORT -STAFF MESS'!$B$5:$N$16,3,0)</f>
        <v>983</v>
      </c>
      <c r="BR10" s="28">
        <f>VLOOKUP($B$6:$B$17,'REPORT -STAFF MESS'!$B$5:$N$16,4,0)</f>
        <v>4.0110988697106951</v>
      </c>
      <c r="BS10" s="28">
        <f>VLOOKUP($B$6:$B$17,'REPORT -STAFF MESS'!$B$5:$N$16,5,0)</f>
        <v>26746</v>
      </c>
      <c r="BT10" s="28">
        <f>VLOOKUP($B$6:$B$17,'REPORT -STAFF MESS'!$B$5:$N$16,6,0)</f>
        <v>1706</v>
      </c>
      <c r="BU10" s="28">
        <f>VLOOKUP($B$6:$B$17,'REPORT -STAFF MESS'!$B$5:$N$16,7,0)</f>
        <v>6.3785238914230176</v>
      </c>
      <c r="BV10" s="28">
        <f>VLOOKUP($B$6:$B$17,'REPORT -STAFF MESS'!$B$5:$N$16,8,0)</f>
        <v>19371</v>
      </c>
      <c r="BW10" s="28">
        <f>VLOOKUP($B$6:$B$17,'REPORT -STAFF MESS'!$B$5:$N$16,9,0)</f>
        <v>0</v>
      </c>
      <c r="BX10" s="28" t="str">
        <f>VLOOKUP($B$6:$B$17,'REPORT -STAFF MESS'!$B$5:$N$16,10,0)</f>
        <v>0</v>
      </c>
      <c r="BY10" s="28">
        <f>VLOOKUP($B$6:$B$17,'REPORT -STAFF MESS'!$B$5:$N$16,11,0)</f>
        <v>19514</v>
      </c>
      <c r="BZ10" s="28">
        <f>VLOOKUP($B$6:$B$17,'REPORT -STAFF MESS'!$B$5:$N$16,12,0)</f>
        <v>809</v>
      </c>
      <c r="CA10" s="28">
        <f>VLOOKUP($B$6:$B$17,'REPORT -STAFF MESS'!$B$5:$N$16,13,0)</f>
        <v>4.1457415189095004</v>
      </c>
      <c r="CB10" s="35">
        <f t="shared" si="5"/>
        <v>3.6338410700108028</v>
      </c>
      <c r="CD10" s="24"/>
      <c r="CH10" s="24"/>
    </row>
    <row r="11" spans="1:86" x14ac:dyDescent="0.3">
      <c r="A11" s="26">
        <v>6</v>
      </c>
      <c r="B11" s="25" t="s">
        <v>10</v>
      </c>
      <c r="C11" s="28">
        <f>VLOOKUP($B$6:$B$17,'REPORT - SANNASI MESS'!$B$5:$N$16,2,0)</f>
        <v>70200</v>
      </c>
      <c r="D11" s="28">
        <f>VLOOKUP($B$6:$B$17,'REPORT - SANNASI MESS'!$B$5:$N$16,3,0)</f>
        <v>954</v>
      </c>
      <c r="E11" s="28">
        <f>VLOOKUP($B$6:$B$17,'REPORT - SANNASI MESS'!$B$5:$N$16,4,0)</f>
        <v>1.358974358974359</v>
      </c>
      <c r="F11" s="28">
        <f>VLOOKUP($B$6:$B$17,'REPORT - SANNASI MESS'!$B$5:$N$16,5,0)</f>
        <v>137020</v>
      </c>
      <c r="G11" s="28">
        <f>VLOOKUP($B$6:$B$17,'REPORT - SANNASI MESS'!$B$5:$N$16,6,0)</f>
        <v>4156</v>
      </c>
      <c r="H11" s="28">
        <f>VLOOKUP($B$6:$B$17,'REPORT - SANNASI MESS'!$B$5:$N$16,7,0)</f>
        <v>3.0331338490731281</v>
      </c>
      <c r="I11" s="28">
        <f>VLOOKUP($B$6:$B$17,'REPORT - SANNASI MESS'!$B$5:$N$16,8,0)</f>
        <v>147900</v>
      </c>
      <c r="J11" s="28">
        <f>VLOOKUP($B$6:$B$17,'REPORT - SANNASI MESS'!$B$5:$N$16,9,0)</f>
        <v>0</v>
      </c>
      <c r="K11" s="28" t="str">
        <f>VLOOKUP($B$6:$B$17,'REPORT - SANNASI MESS'!$B$5:$N$16,10,0)</f>
        <v>0</v>
      </c>
      <c r="L11" s="28">
        <f>VLOOKUP($B$6:$B$17,'REPORT - SANNASI MESS'!$B$5:$N$16,11,0)</f>
        <v>149800</v>
      </c>
      <c r="M11" s="28">
        <f>VLOOKUP($B$6:$B$17,'REPORT - SANNASI MESS'!$B$5:$N$16,12,0)</f>
        <v>5026</v>
      </c>
      <c r="N11" s="28">
        <f>VLOOKUP($B$6:$B$17,'REPORT - SANNASI MESS'!$B$5:$N$16,13,0)</f>
        <v>3.3551401869158877</v>
      </c>
      <c r="O11" s="29">
        <f t="shared" si="0"/>
        <v>1.9368120987408437</v>
      </c>
      <c r="P11" s="28">
        <f>VLOOKUP($B$6:$B$17,'REPORT -D-MESS'!$B$5:$N$16,2,0)</f>
        <v>22752</v>
      </c>
      <c r="Q11" s="28">
        <f>VLOOKUP($B$6:$B$17,'REPORT -D-MESS'!$B$5:$N$16,3,0)</f>
        <v>1821</v>
      </c>
      <c r="R11" s="28">
        <f>VLOOKUP($B$6:$B$17,'REPORT -D-MESS'!$B$5:$N$16,4,0)</f>
        <v>8.0036919831223621</v>
      </c>
      <c r="S11" s="28">
        <f>VLOOKUP($B$6:$B$17,'REPORT -D-MESS'!$B$5:$N$16,5,0)</f>
        <v>37614</v>
      </c>
      <c r="T11" s="28">
        <f>VLOOKUP($B$6:$B$17,'REPORT -D-MESS'!$B$5:$N$16,6,0)</f>
        <v>3057</v>
      </c>
      <c r="U11" s="28">
        <f>VLOOKUP($B$6:$B$17,'REPORT -D-MESS'!$B$5:$N$16,7,0)</f>
        <v>8.1272930291912591</v>
      </c>
      <c r="V11" s="28">
        <f>VLOOKUP($B$6:$B$17,'REPORT -D-MESS'!$B$5:$N$16,8,0)</f>
        <v>42907</v>
      </c>
      <c r="W11" s="28">
        <f>VLOOKUP($B$6:$B$17,'REPORT -D-MESS'!$B$5:$N$16,9,0)</f>
        <v>0</v>
      </c>
      <c r="X11" s="28" t="str">
        <f>VLOOKUP($B$6:$B$17,'REPORT -D-MESS'!$B$5:$N$16,10,0)</f>
        <v>0</v>
      </c>
      <c r="Y11" s="28">
        <f>VLOOKUP($B$6:$B$17,'REPORT -D-MESS'!$B$5:$N$16,11,0)</f>
        <v>44457</v>
      </c>
      <c r="Z11" s="28">
        <f>VLOOKUP($B$6:$B$17,'REPORT -D-MESS'!$B$5:$N$16,12,0)</f>
        <v>3583</v>
      </c>
      <c r="AA11" s="28">
        <f>VLOOKUP($B$6:$B$17,'REPORT -D-MESS'!$B$5:$N$16,13,0)</f>
        <v>8.0594731988213333</v>
      </c>
      <c r="AB11" s="29">
        <f t="shared" si="1"/>
        <v>6.0476145527837391</v>
      </c>
      <c r="AC11" s="28">
        <f>VLOOKUP($B$6:$B$17,'REPORT -SENBAGAM MESS'!$B$5:$N$16,2,0)</f>
        <v>25850</v>
      </c>
      <c r="AD11" s="28">
        <f>VLOOKUP($B$6:$B$17,'REPORT -SENBAGAM MESS'!$B$5:$N$16,3,0)</f>
        <v>768</v>
      </c>
      <c r="AE11" s="28">
        <f>VLOOKUP($B$6:$B$17,'REPORT -SENBAGAM MESS'!$B$5:$N$16,4,0)</f>
        <v>2.9709864603481626</v>
      </c>
      <c r="AF11" s="28">
        <f>VLOOKUP($B$6:$B$17,'REPORT -SENBAGAM MESS'!$B$5:$N$16,5,0)</f>
        <v>33820</v>
      </c>
      <c r="AG11" s="28">
        <f>VLOOKUP($B$6:$B$17,'REPORT -SENBAGAM MESS'!$B$5:$N$16,6,0)</f>
        <v>1160</v>
      </c>
      <c r="AH11" s="28">
        <f>VLOOKUP($B$6:$B$17,'REPORT -SENBAGAM MESS'!$B$5:$N$16,7,0)</f>
        <v>3.4299231224127738</v>
      </c>
      <c r="AI11" s="28">
        <f>VLOOKUP($B$6:$B$17,'REPORT -SENBAGAM MESS'!$B$5:$N$16,8,0)</f>
        <v>36740</v>
      </c>
      <c r="AJ11" s="28">
        <f>VLOOKUP($B$6:$B$17,'REPORT -SENBAGAM MESS'!$B$5:$N$16,9,0)</f>
        <v>0</v>
      </c>
      <c r="AK11" s="28" t="str">
        <f>VLOOKUP($B$6:$B$17,'REPORT -SENBAGAM MESS'!$B$5:$N$16,10,0)</f>
        <v>0</v>
      </c>
      <c r="AL11" s="28">
        <f>VLOOKUP($B$6:$B$17,'REPORT -SENBAGAM MESS'!$B$5:$N$16,11,0)</f>
        <v>36770</v>
      </c>
      <c r="AM11" s="28">
        <f>VLOOKUP($B$6:$B$17,'REPORT -SENBAGAM MESS'!$B$5:$N$16,12,0)</f>
        <v>1434</v>
      </c>
      <c r="AN11" s="28">
        <f>VLOOKUP($B$6:$B$17,'REPORT -SENBAGAM MESS'!$B$5:$N$16,13,0)</f>
        <v>3.899918411748708</v>
      </c>
      <c r="AO11" s="29">
        <f t="shared" si="2"/>
        <v>7.3758891856981137</v>
      </c>
      <c r="AP11" s="28">
        <f>VLOOKUP($B$6:$B$17,'REPORT -J MESS'!$B$6:$N$17,2,0)</f>
        <v>26195</v>
      </c>
      <c r="AQ11" s="28">
        <f>VLOOKUP($B$6:$B$17,'REPORT -J MESS'!$B$6:$N$17,3,0)</f>
        <v>948</v>
      </c>
      <c r="AR11" s="28">
        <f>VLOOKUP($B$6:$B$17,'REPORT -J MESS'!$B$6:$N$17,4,0)</f>
        <v>3.6190112616911621</v>
      </c>
      <c r="AS11" s="28">
        <f>VLOOKUP($B$6:$B$17,'REPORT -J MESS'!$B$6:$N$17,5,0)</f>
        <v>41511</v>
      </c>
      <c r="AT11" s="28">
        <f>VLOOKUP($B$6:$B$17,'REPORT -J MESS'!$B$6:$N$17,6,0)</f>
        <v>1210</v>
      </c>
      <c r="AU11" s="28">
        <f>VLOOKUP($B$6:$B$17,'REPORT -J MESS'!$B$6:$N$17,7,0)</f>
        <v>2.9148900291488999</v>
      </c>
      <c r="AV11" s="28">
        <f>VLOOKUP($B$6:$B$17,'REPORT -J MESS'!$B$6:$N$17,8,0)</f>
        <v>46272</v>
      </c>
      <c r="AW11" s="28">
        <f>VLOOKUP($B$6:$B$17,'REPORT -J MESS'!$B$6:$N$17,9,0)</f>
        <v>0</v>
      </c>
      <c r="AX11" s="28" t="str">
        <f>VLOOKUP($B$6:$B$17,'REPORT -J MESS'!$B$6:$N$17,10,0)</f>
        <v>0</v>
      </c>
      <c r="AY11" s="28">
        <f>VLOOKUP($B$6:$B$17,'REPORT -J MESS'!$B$6:$N$17,11,0)</f>
        <v>46272</v>
      </c>
      <c r="AZ11" s="28">
        <f>VLOOKUP($B$6:$B$17,'REPORT -J MESS'!$B$6:$N$17,12,0)</f>
        <v>1390</v>
      </c>
      <c r="BA11" s="28">
        <f>VLOOKUP($B$6:$B$17,'REPORT -J MESS'!$B$6:$N$17,13,0)</f>
        <v>3.0039764868603043</v>
      </c>
      <c r="BB11" s="29">
        <f t="shared" si="3"/>
        <v>7.2848954125551373</v>
      </c>
      <c r="BC11" s="28">
        <f>VLOOKUP($B$6:$B$17,'REPORT -MEENAKSHI MESS'!$B$5:$N$16,2,0)</f>
        <v>10380</v>
      </c>
      <c r="BD11" s="28">
        <f>VLOOKUP($B$6:$B$17,'REPORT -MEENAKSHI MESS'!$B$5:$N$16,3,0)</f>
        <v>205</v>
      </c>
      <c r="BE11" s="28">
        <f>VLOOKUP($B$6:$B$17,'REPORT -MEENAKSHI MESS'!$B$5:$N$16,4,0)</f>
        <v>1.9749518304431599</v>
      </c>
      <c r="BF11" s="28">
        <f>VLOOKUP($B$6:$B$17,'REPORT -MEENAKSHI MESS'!$B$5:$N$16,5,0)</f>
        <v>12067</v>
      </c>
      <c r="BG11" s="28">
        <f>VLOOKUP($B$6:$B$17,'REPORT -MEENAKSHI MESS'!$B$5:$N$16,6,0)</f>
        <v>297</v>
      </c>
      <c r="BH11" s="28">
        <f>VLOOKUP($B$6:$B$17,'REPORT -MEENAKSHI MESS'!$B$5:$N$16,7,0)</f>
        <v>2.461257976298997</v>
      </c>
      <c r="BI11" s="28">
        <f>VLOOKUP($B$6:$B$17,'REPORT -MEENAKSHI MESS'!$B$5:$N$16,8,0)</f>
        <v>12467</v>
      </c>
      <c r="BJ11" s="28">
        <f>VLOOKUP($B$6:$B$17,'REPORT -MEENAKSHI MESS'!$B$5:$N$16,9,0)</f>
        <v>0</v>
      </c>
      <c r="BK11" s="28" t="str">
        <f>VLOOKUP($B$6:$B$17,'REPORT -MEENAKSHI MESS'!$B$5:$N$16,10,0)</f>
        <v>0</v>
      </c>
      <c r="BL11" s="28">
        <f>VLOOKUP($B$6:$B$17,'REPORT -MEENAKSHI MESS'!$B$5:$N$16,11,0)</f>
        <v>12467</v>
      </c>
      <c r="BM11" s="28">
        <f>VLOOKUP($B$6:$B$17,'REPORT -MEENAKSHI MESS'!$B$5:$N$16,12,0)</f>
        <v>341</v>
      </c>
      <c r="BN11" s="28">
        <f>VLOOKUP($B$6:$B$17,'REPORT -MEENAKSHI MESS'!$B$5:$N$16,13,0)</f>
        <v>2.7352209833961658</v>
      </c>
      <c r="BO11" s="29">
        <f t="shared" si="4"/>
        <v>1.7928576975345809</v>
      </c>
      <c r="BP11" s="28">
        <f>VLOOKUP($B$6:$B$17,'REPORT -STAFF MESS'!$B$5:$N$16,2,0)</f>
        <v>23272</v>
      </c>
      <c r="BQ11" s="28">
        <f>VLOOKUP($B$6:$B$17,'REPORT -STAFF MESS'!$B$5:$N$16,3,0)</f>
        <v>697</v>
      </c>
      <c r="BR11" s="28">
        <f>VLOOKUP($B$6:$B$17,'REPORT -STAFF MESS'!$B$5:$N$16,4,0)</f>
        <v>2.9950154692334134</v>
      </c>
      <c r="BS11" s="28">
        <f>VLOOKUP($B$6:$B$17,'REPORT -STAFF MESS'!$B$5:$N$16,5,0)</f>
        <v>22932</v>
      </c>
      <c r="BT11" s="28">
        <f>VLOOKUP($B$6:$B$17,'REPORT -STAFF MESS'!$B$5:$N$16,6,0)</f>
        <v>1443</v>
      </c>
      <c r="BU11" s="28">
        <f>VLOOKUP($B$6:$B$17,'REPORT -STAFF MESS'!$B$5:$N$16,7,0)</f>
        <v>6.2925170068027212</v>
      </c>
      <c r="BV11" s="28">
        <f>VLOOKUP($B$6:$B$17,'REPORT -STAFF MESS'!$B$5:$N$16,8,0)</f>
        <v>16988</v>
      </c>
      <c r="BW11" s="28">
        <f>VLOOKUP($B$6:$B$17,'REPORT -STAFF MESS'!$B$5:$N$16,9,0)</f>
        <v>0</v>
      </c>
      <c r="BX11" s="28" t="str">
        <f>VLOOKUP($B$6:$B$17,'REPORT -STAFF MESS'!$B$5:$N$16,10,0)</f>
        <v>0</v>
      </c>
      <c r="BY11" s="28">
        <f>VLOOKUP($B$6:$B$17,'REPORT -STAFF MESS'!$B$5:$N$16,11,0)</f>
        <v>16988</v>
      </c>
      <c r="BZ11" s="28">
        <f>VLOOKUP($B$6:$B$17,'REPORT -STAFF MESS'!$B$5:$N$16,12,0)</f>
        <v>683</v>
      </c>
      <c r="CA11" s="28">
        <f>VLOOKUP($B$6:$B$17,'REPORT -STAFF MESS'!$B$5:$N$16,13,0)</f>
        <v>4.0204850482693661</v>
      </c>
      <c r="CB11" s="35">
        <f t="shared" si="5"/>
        <v>3.327004381076375</v>
      </c>
      <c r="CD11" s="24"/>
      <c r="CH11" s="24"/>
    </row>
    <row r="12" spans="1:86" x14ac:dyDescent="0.3">
      <c r="A12" s="26">
        <v>7</v>
      </c>
      <c r="B12" s="25" t="s">
        <v>11</v>
      </c>
      <c r="C12" s="28">
        <f>VLOOKUP($B$6:$B$17,'REPORT - SANNASI MESS'!$B$5:$N$16,2,0)</f>
        <v>69470</v>
      </c>
      <c r="D12" s="28">
        <f>VLOOKUP($B$6:$B$17,'REPORT - SANNASI MESS'!$B$5:$N$16,3,0)</f>
        <v>894</v>
      </c>
      <c r="E12" s="28">
        <f>VLOOKUP($B$6:$B$17,'REPORT - SANNASI MESS'!$B$5:$N$16,4,0)</f>
        <v>1.2868864257953072</v>
      </c>
      <c r="F12" s="28">
        <f>VLOOKUP($B$6:$B$17,'REPORT - SANNASI MESS'!$B$5:$N$16,5,0)</f>
        <v>143600</v>
      </c>
      <c r="G12" s="28">
        <f>VLOOKUP($B$6:$B$17,'REPORT - SANNASI MESS'!$B$5:$N$16,6,0)</f>
        <v>4514</v>
      </c>
      <c r="H12" s="28">
        <f>VLOOKUP($B$6:$B$17,'REPORT - SANNASI MESS'!$B$5:$N$16,7,0)</f>
        <v>3.1434540389972141</v>
      </c>
      <c r="I12" s="28">
        <f>VLOOKUP($B$6:$B$17,'REPORT - SANNASI MESS'!$B$5:$N$16,8,0)</f>
        <v>155150</v>
      </c>
      <c r="J12" s="28">
        <f>VLOOKUP($B$6:$B$17,'REPORT - SANNASI MESS'!$B$5:$N$16,9,0)</f>
        <v>0</v>
      </c>
      <c r="K12" s="28" t="str">
        <f>VLOOKUP($B$6:$B$17,'REPORT - SANNASI MESS'!$B$5:$N$16,10,0)</f>
        <v>0</v>
      </c>
      <c r="L12" s="28">
        <f>VLOOKUP($B$6:$B$17,'REPORT - SANNASI MESS'!$B$5:$N$16,11,0)</f>
        <v>155150</v>
      </c>
      <c r="M12" s="28">
        <f>VLOOKUP($B$6:$B$17,'REPORT - SANNASI MESS'!$B$5:$N$16,12,0)</f>
        <v>5478</v>
      </c>
      <c r="N12" s="28">
        <f>VLOOKUP($B$6:$B$17,'REPORT - SANNASI MESS'!$B$5:$N$16,13,0)</f>
        <v>3.5307766677408958</v>
      </c>
      <c r="O12" s="29">
        <f t="shared" si="0"/>
        <v>1.9902792831333542</v>
      </c>
      <c r="P12" s="28">
        <f>VLOOKUP($B$6:$B$17,'REPORT -D-MESS'!$B$5:$N$16,2,0)</f>
        <v>13135</v>
      </c>
      <c r="Q12" s="28">
        <f>VLOOKUP($B$6:$B$17,'REPORT -D-MESS'!$B$5:$N$16,3,0)</f>
        <v>745</v>
      </c>
      <c r="R12" s="28">
        <f>VLOOKUP($B$6:$B$17,'REPORT -D-MESS'!$B$5:$N$16,4,0)</f>
        <v>5.6718690521507424</v>
      </c>
      <c r="S12" s="28">
        <f>VLOOKUP($B$6:$B$17,'REPORT -D-MESS'!$B$5:$N$16,5,0)</f>
        <v>24626</v>
      </c>
      <c r="T12" s="28">
        <f>VLOOKUP($B$6:$B$17,'REPORT -D-MESS'!$B$5:$N$16,6,0)</f>
        <v>2194</v>
      </c>
      <c r="U12" s="28">
        <f>VLOOKUP($B$6:$B$17,'REPORT -D-MESS'!$B$5:$N$16,7,0)</f>
        <v>8.9092828717615529</v>
      </c>
      <c r="V12" s="28">
        <f>VLOOKUP($B$6:$B$17,'REPORT -D-MESS'!$B$5:$N$16,8,0)</f>
        <v>24790</v>
      </c>
      <c r="W12" s="28">
        <f>VLOOKUP($B$6:$B$17,'REPORT -D-MESS'!$B$5:$N$16,9,0)</f>
        <v>0</v>
      </c>
      <c r="X12" s="28" t="str">
        <f>VLOOKUP($B$6:$B$17,'REPORT -D-MESS'!$B$5:$N$16,10,0)</f>
        <v>0</v>
      </c>
      <c r="Y12" s="28">
        <f>VLOOKUP($B$6:$B$17,'REPORT -D-MESS'!$B$5:$N$16,11,0)</f>
        <v>26240</v>
      </c>
      <c r="Z12" s="28">
        <f>VLOOKUP($B$6:$B$17,'REPORT -D-MESS'!$B$5:$N$16,12,0)</f>
        <v>2264</v>
      </c>
      <c r="AA12" s="28">
        <f>VLOOKUP($B$6:$B$17,'REPORT -D-MESS'!$B$5:$N$16,13,0)</f>
        <v>8.6280487804878039</v>
      </c>
      <c r="AB12" s="29">
        <f t="shared" si="1"/>
        <v>5.8023001761000241</v>
      </c>
      <c r="AC12" s="28">
        <f>VLOOKUP($B$6:$B$17,'REPORT -SENBAGAM MESS'!$B$5:$N$16,2,0)</f>
        <v>23980</v>
      </c>
      <c r="AD12" s="28">
        <f>VLOOKUP($B$6:$B$17,'REPORT -SENBAGAM MESS'!$B$5:$N$16,3,0)</f>
        <v>767</v>
      </c>
      <c r="AE12" s="28">
        <f>VLOOKUP($B$6:$B$17,'REPORT -SENBAGAM MESS'!$B$5:$N$16,4,0)</f>
        <v>3.1984987489574643</v>
      </c>
      <c r="AF12" s="28">
        <f>VLOOKUP($B$6:$B$17,'REPORT -SENBAGAM MESS'!$B$5:$N$16,5,0)</f>
        <v>37370</v>
      </c>
      <c r="AG12" s="28">
        <f>VLOOKUP($B$6:$B$17,'REPORT -SENBAGAM MESS'!$B$5:$N$16,6,0)</f>
        <v>1162</v>
      </c>
      <c r="AH12" s="28">
        <f>VLOOKUP($B$6:$B$17,'REPORT -SENBAGAM MESS'!$B$5:$N$16,7,0)</f>
        <v>3.1094460797431096</v>
      </c>
      <c r="AI12" s="28">
        <f>VLOOKUP($B$6:$B$17,'REPORT -SENBAGAM MESS'!$B$5:$N$16,8,0)</f>
        <v>43070</v>
      </c>
      <c r="AJ12" s="28">
        <f>VLOOKUP($B$6:$B$17,'REPORT -SENBAGAM MESS'!$B$5:$N$16,9,0)</f>
        <v>0</v>
      </c>
      <c r="AK12" s="28" t="str">
        <f>VLOOKUP($B$6:$B$17,'REPORT -SENBAGAM MESS'!$B$5:$N$16,10,0)</f>
        <v>0</v>
      </c>
      <c r="AL12" s="28">
        <f>VLOOKUP($B$6:$B$17,'REPORT -SENBAGAM MESS'!$B$5:$N$16,11,0)</f>
        <v>43070</v>
      </c>
      <c r="AM12" s="28">
        <f>VLOOKUP($B$6:$B$17,'REPORT -SENBAGAM MESS'!$B$5:$N$16,12,0)</f>
        <v>1428</v>
      </c>
      <c r="AN12" s="28">
        <f>VLOOKUP($B$6:$B$17,'REPORT -SENBAGAM MESS'!$B$5:$N$16,13,0)</f>
        <v>3.3155328534943114</v>
      </c>
      <c r="AO12" s="29">
        <f t="shared" si="2"/>
        <v>7.1368280420741517</v>
      </c>
      <c r="AP12" s="28">
        <f>VLOOKUP($B$6:$B$17,'REPORT -J MESS'!$B$6:$N$17,2,0)</f>
        <v>26369</v>
      </c>
      <c r="AQ12" s="28">
        <f>VLOOKUP($B$6:$B$17,'REPORT -J MESS'!$B$6:$N$17,3,0)</f>
        <v>694</v>
      </c>
      <c r="AR12" s="28">
        <f>VLOOKUP($B$6:$B$17,'REPORT -J MESS'!$B$6:$N$17,4,0)</f>
        <v>2.6318783419924912</v>
      </c>
      <c r="AS12" s="28">
        <f>VLOOKUP($B$6:$B$17,'REPORT -J MESS'!$B$6:$N$17,5,0)</f>
        <v>43172</v>
      </c>
      <c r="AT12" s="28">
        <f>VLOOKUP($B$6:$B$17,'REPORT -J MESS'!$B$6:$N$17,6,0)</f>
        <v>882</v>
      </c>
      <c r="AU12" s="28">
        <f>VLOOKUP($B$6:$B$17,'REPORT -J MESS'!$B$6:$N$17,7,0)</f>
        <v>2.0429908273881221</v>
      </c>
      <c r="AV12" s="28">
        <f>VLOOKUP($B$6:$B$17,'REPORT -J MESS'!$B$6:$N$17,8,0)</f>
        <v>45651</v>
      </c>
      <c r="AW12" s="28">
        <f>VLOOKUP($B$6:$B$17,'REPORT -J MESS'!$B$6:$N$17,9,0)</f>
        <v>0</v>
      </c>
      <c r="AX12" s="28" t="str">
        <f>VLOOKUP($B$6:$B$17,'REPORT -J MESS'!$B$6:$N$17,10,0)</f>
        <v>0</v>
      </c>
      <c r="AY12" s="28">
        <f>VLOOKUP($B$6:$B$17,'REPORT -J MESS'!$B$6:$N$17,11,0)</f>
        <v>45652</v>
      </c>
      <c r="AZ12" s="28">
        <f>VLOOKUP($B$6:$B$17,'REPORT -J MESS'!$B$6:$N$17,12,0)</f>
        <v>985</v>
      </c>
      <c r="BA12" s="28">
        <f>VLOOKUP($B$6:$B$17,'REPORT -J MESS'!$B$6:$N$17,13,0)</f>
        <v>2.157627267151494</v>
      </c>
      <c r="BB12" s="29">
        <f t="shared" si="3"/>
        <v>5.2142759861684871</v>
      </c>
      <c r="BC12" s="28">
        <f>VLOOKUP($B$6:$B$17,'REPORT -MEENAKSHI MESS'!$B$5:$N$16,2,0)</f>
        <v>9230</v>
      </c>
      <c r="BD12" s="28">
        <f>VLOOKUP($B$6:$B$17,'REPORT -MEENAKSHI MESS'!$B$5:$N$16,3,0)</f>
        <v>183</v>
      </c>
      <c r="BE12" s="28">
        <f>VLOOKUP($B$6:$B$17,'REPORT -MEENAKSHI MESS'!$B$5:$N$16,4,0)</f>
        <v>1.9826652221018419</v>
      </c>
      <c r="BF12" s="28">
        <f>VLOOKUP($B$6:$B$17,'REPORT -MEENAKSHI MESS'!$B$5:$N$16,5,0)</f>
        <v>18922</v>
      </c>
      <c r="BG12" s="28">
        <f>VLOOKUP($B$6:$B$17,'REPORT -MEENAKSHI MESS'!$B$5:$N$16,6,0)</f>
        <v>309</v>
      </c>
      <c r="BH12" s="28">
        <f>VLOOKUP($B$6:$B$17,'REPORT -MEENAKSHI MESS'!$B$5:$N$16,7,0)</f>
        <v>1.6330197653524996</v>
      </c>
      <c r="BI12" s="28">
        <f>VLOOKUP($B$6:$B$17,'REPORT -MEENAKSHI MESS'!$B$5:$N$16,8,0)</f>
        <v>12152</v>
      </c>
      <c r="BJ12" s="28">
        <f>VLOOKUP($B$6:$B$17,'REPORT -MEENAKSHI MESS'!$B$5:$N$16,9,0)</f>
        <v>0</v>
      </c>
      <c r="BK12" s="28" t="str">
        <f>VLOOKUP($B$6:$B$17,'REPORT -MEENAKSHI MESS'!$B$5:$N$16,10,0)</f>
        <v>0</v>
      </c>
      <c r="BL12" s="28">
        <f>VLOOKUP($B$6:$B$17,'REPORT -MEENAKSHI MESS'!$B$5:$N$16,11,0)</f>
        <v>12142</v>
      </c>
      <c r="BM12" s="28">
        <f>VLOOKUP($B$6:$B$17,'REPORT -MEENAKSHI MESS'!$B$5:$N$16,12,0)</f>
        <v>382</v>
      </c>
      <c r="BN12" s="28">
        <f>VLOOKUP($B$6:$B$17,'REPORT -MEENAKSHI MESS'!$B$5:$N$16,13,0)</f>
        <v>3.1461044309010049</v>
      </c>
      <c r="BO12" s="29">
        <f t="shared" si="4"/>
        <v>1.6904473545888365</v>
      </c>
      <c r="BP12" s="28">
        <f>VLOOKUP($B$6:$B$17,'REPORT -STAFF MESS'!$B$5:$N$16,2,0)</f>
        <v>22343</v>
      </c>
      <c r="BQ12" s="28">
        <f>VLOOKUP($B$6:$B$17,'REPORT -STAFF MESS'!$B$5:$N$16,3,0)</f>
        <v>744</v>
      </c>
      <c r="BR12" s="28">
        <f>VLOOKUP($B$6:$B$17,'REPORT -STAFF MESS'!$B$5:$N$16,4,0)</f>
        <v>3.3299019827238956</v>
      </c>
      <c r="BS12" s="28">
        <f>VLOOKUP($B$6:$B$17,'REPORT -STAFF MESS'!$B$5:$N$16,5,0)</f>
        <v>27087</v>
      </c>
      <c r="BT12" s="28">
        <f>VLOOKUP($B$6:$B$17,'REPORT -STAFF MESS'!$B$5:$N$16,6,0)</f>
        <v>1644</v>
      </c>
      <c r="BU12" s="28">
        <f>VLOOKUP($B$6:$B$17,'REPORT -STAFF MESS'!$B$5:$N$16,7,0)</f>
        <v>6.0693321519548125</v>
      </c>
      <c r="BV12" s="28">
        <f>VLOOKUP($B$6:$B$17,'REPORT -STAFF MESS'!$B$5:$N$16,8,0)</f>
        <v>13532</v>
      </c>
      <c r="BW12" s="28">
        <f>VLOOKUP($B$6:$B$17,'REPORT -STAFF MESS'!$B$5:$N$16,9,0)</f>
        <v>0</v>
      </c>
      <c r="BX12" s="28" t="str">
        <f>VLOOKUP($B$6:$B$17,'REPORT -STAFF MESS'!$B$5:$N$16,10,0)</f>
        <v>0</v>
      </c>
      <c r="BY12" s="28">
        <f>VLOOKUP($B$6:$B$17,'REPORT -STAFF MESS'!$B$5:$N$16,11,0)</f>
        <v>13532</v>
      </c>
      <c r="BZ12" s="28">
        <f>VLOOKUP($B$6:$B$17,'REPORT -STAFF MESS'!$B$5:$N$16,12,0)</f>
        <v>675</v>
      </c>
      <c r="CA12" s="28">
        <f>VLOOKUP($B$6:$B$17,'REPORT -STAFF MESS'!$B$5:$N$16,13,0)</f>
        <v>4.9881761749926108</v>
      </c>
      <c r="CB12" s="35">
        <f t="shared" si="5"/>
        <v>3.5968525774178293</v>
      </c>
      <c r="CD12" s="24"/>
      <c r="CH12" s="24"/>
    </row>
    <row r="13" spans="1:86" x14ac:dyDescent="0.3">
      <c r="A13" s="26">
        <v>8</v>
      </c>
      <c r="B13" s="25" t="s">
        <v>12</v>
      </c>
      <c r="C13" s="28">
        <f>VLOOKUP($B$6:$B$17,'REPORT - SANNASI MESS'!$B$5:$N$16,2,0)</f>
        <v>66970</v>
      </c>
      <c r="D13" s="28">
        <f>VLOOKUP($B$6:$B$17,'REPORT - SANNASI MESS'!$B$5:$N$16,3,0)</f>
        <v>1041</v>
      </c>
      <c r="E13" s="28">
        <f>VLOOKUP($B$6:$B$17,'REPORT - SANNASI MESS'!$B$5:$N$16,4,0)</f>
        <v>1.554427355532328</v>
      </c>
      <c r="F13" s="28">
        <f>VLOOKUP($B$6:$B$17,'REPORT - SANNASI MESS'!$B$5:$N$16,5,0)</f>
        <v>147220</v>
      </c>
      <c r="G13" s="28">
        <f>VLOOKUP($B$6:$B$17,'REPORT - SANNASI MESS'!$B$5:$N$16,6,0)</f>
        <v>4501</v>
      </c>
      <c r="H13" s="28">
        <f>VLOOKUP($B$6:$B$17,'REPORT - SANNASI MESS'!$B$5:$N$16,7,0)</f>
        <v>3.0573291672327132</v>
      </c>
      <c r="I13" s="28">
        <f>VLOOKUP($B$6:$B$17,'REPORT - SANNASI MESS'!$B$5:$N$16,8,0)</f>
        <v>166910</v>
      </c>
      <c r="J13" s="28">
        <f>VLOOKUP($B$6:$B$17,'REPORT - SANNASI MESS'!$B$5:$N$16,9,0)</f>
        <v>0</v>
      </c>
      <c r="K13" s="28" t="str">
        <f>VLOOKUP($B$6:$B$17,'REPORT - SANNASI MESS'!$B$5:$N$16,10,0)</f>
        <v>0</v>
      </c>
      <c r="L13" s="28">
        <f>VLOOKUP($B$6:$B$17,'REPORT - SANNASI MESS'!$B$5:$N$16,11,0)</f>
        <v>166910</v>
      </c>
      <c r="M13" s="28">
        <f>VLOOKUP($B$6:$B$17,'REPORT - SANNASI MESS'!$B$5:$N$16,12,0)</f>
        <v>5820</v>
      </c>
      <c r="N13" s="28">
        <f>VLOOKUP($B$6:$B$17,'REPORT - SANNASI MESS'!$B$5:$N$16,13,0)</f>
        <v>3.4869091126954648</v>
      </c>
      <c r="O13" s="29">
        <f t="shared" si="0"/>
        <v>2.0246664088651265</v>
      </c>
      <c r="P13" s="28">
        <f>VLOOKUP($B$6:$B$17,'REPORT -D-MESS'!$B$5:$N$16,2,0)</f>
        <v>12493</v>
      </c>
      <c r="Q13" s="28">
        <f>VLOOKUP($B$6:$B$17,'REPORT -D-MESS'!$B$5:$N$16,3,0)</f>
        <v>1006</v>
      </c>
      <c r="R13" s="28">
        <f>VLOOKUP($B$6:$B$17,'REPORT -D-MESS'!$B$5:$N$16,4,0)</f>
        <v>8.0525094052669495</v>
      </c>
      <c r="S13" s="28">
        <f>VLOOKUP($B$6:$B$17,'REPORT -D-MESS'!$B$5:$N$16,5,0)</f>
        <v>21964</v>
      </c>
      <c r="T13" s="28">
        <f>VLOOKUP($B$6:$B$17,'REPORT -D-MESS'!$B$5:$N$16,6,0)</f>
        <v>1977</v>
      </c>
      <c r="U13" s="28">
        <f>VLOOKUP($B$6:$B$17,'REPORT -D-MESS'!$B$5:$N$16,7,0)</f>
        <v>9.001092697140777</v>
      </c>
      <c r="V13" s="28">
        <f>VLOOKUP($B$6:$B$17,'REPORT -D-MESS'!$B$5:$N$16,8,0)</f>
        <v>26996</v>
      </c>
      <c r="W13" s="28">
        <f>VLOOKUP($B$6:$B$17,'REPORT -D-MESS'!$B$5:$N$16,9,0)</f>
        <v>0</v>
      </c>
      <c r="X13" s="28" t="str">
        <f>VLOOKUP($B$6:$B$17,'REPORT -D-MESS'!$B$5:$N$16,10,0)</f>
        <v>0</v>
      </c>
      <c r="Y13" s="28">
        <f>VLOOKUP($B$6:$B$17,'REPORT -D-MESS'!$B$5:$N$16,11,0)</f>
        <v>26996</v>
      </c>
      <c r="Z13" s="28">
        <f>VLOOKUP($B$6:$B$17,'REPORT -D-MESS'!$B$5:$N$16,12,0)</f>
        <v>2411</v>
      </c>
      <c r="AA13" s="28">
        <f>VLOOKUP($B$6:$B$17,'REPORT -D-MESS'!$B$5:$N$16,13,0)</f>
        <v>8.9309527337383319</v>
      </c>
      <c r="AB13" s="29">
        <f t="shared" si="1"/>
        <v>6.496138709036515</v>
      </c>
      <c r="AC13" s="28">
        <f>VLOOKUP($B$6:$B$17,'REPORT -SENBAGAM MESS'!$B$5:$N$16,2,0)</f>
        <v>25900</v>
      </c>
      <c r="AD13" s="28">
        <f>VLOOKUP($B$6:$B$17,'REPORT -SENBAGAM MESS'!$B$5:$N$16,3,0)</f>
        <v>656</v>
      </c>
      <c r="AE13" s="28">
        <f>VLOOKUP($B$6:$B$17,'REPORT -SENBAGAM MESS'!$B$5:$N$16,4,0)</f>
        <v>2.5328185328185331</v>
      </c>
      <c r="AF13" s="28">
        <f>VLOOKUP($B$6:$B$17,'REPORT -SENBAGAM MESS'!$B$5:$N$16,5,0)</f>
        <v>35500</v>
      </c>
      <c r="AG13" s="28">
        <f>VLOOKUP($B$6:$B$17,'REPORT -SENBAGAM MESS'!$B$5:$N$16,6,0)</f>
        <v>1094</v>
      </c>
      <c r="AH13" s="28">
        <f>VLOOKUP($B$6:$B$17,'REPORT -SENBAGAM MESS'!$B$5:$N$16,7,0)</f>
        <v>3.0816901408450703</v>
      </c>
      <c r="AI13" s="28">
        <f>VLOOKUP($B$6:$B$17,'REPORT -SENBAGAM MESS'!$B$5:$N$16,8,0)</f>
        <v>39475</v>
      </c>
      <c r="AJ13" s="28">
        <f>VLOOKUP($B$6:$B$17,'REPORT -SENBAGAM MESS'!$B$5:$N$16,9,0)</f>
        <v>0</v>
      </c>
      <c r="AK13" s="28" t="str">
        <f>VLOOKUP($B$6:$B$17,'REPORT -SENBAGAM MESS'!$B$5:$N$16,10,0)</f>
        <v>0</v>
      </c>
      <c r="AL13" s="28">
        <f>VLOOKUP($B$6:$B$17,'REPORT -SENBAGAM MESS'!$B$5:$N$16,11,0)</f>
        <v>39475</v>
      </c>
      <c r="AM13" s="28">
        <f>VLOOKUP($B$6:$B$17,'REPORT -SENBAGAM MESS'!$B$5:$N$16,12,0)</f>
        <v>1241</v>
      </c>
      <c r="AN13" s="28">
        <f>VLOOKUP($B$6:$B$17,'REPORT -SENBAGAM MESS'!$B$5:$N$16,13,0)</f>
        <v>3.1437618746041798</v>
      </c>
      <c r="AO13" s="29">
        <f t="shared" si="2"/>
        <v>6.400449142314649</v>
      </c>
      <c r="AP13" s="28">
        <f>VLOOKUP($B$6:$B$17,'REPORT -J MESS'!$B$6:$N$17,2,0)</f>
        <v>27719</v>
      </c>
      <c r="AQ13" s="28">
        <f>VLOOKUP($B$6:$B$17,'REPORT -J MESS'!$B$6:$N$17,3,0)</f>
        <v>734</v>
      </c>
      <c r="AR13" s="28">
        <f>VLOOKUP($B$6:$B$17,'REPORT -J MESS'!$B$6:$N$17,4,0)</f>
        <v>2.6480031747177026</v>
      </c>
      <c r="AS13" s="28">
        <f>VLOOKUP($B$6:$B$17,'REPORT -J MESS'!$B$6:$N$17,5,0)</f>
        <v>40837</v>
      </c>
      <c r="AT13" s="28">
        <f>VLOOKUP($B$6:$B$17,'REPORT -J MESS'!$B$6:$N$17,6,0)</f>
        <v>889</v>
      </c>
      <c r="AU13" s="28">
        <f>VLOOKUP($B$6:$B$17,'REPORT -J MESS'!$B$6:$N$17,7,0)</f>
        <v>2.1769473761539779</v>
      </c>
      <c r="AV13" s="28">
        <f>VLOOKUP($B$6:$B$17,'REPORT -J MESS'!$B$6:$N$17,8,0)</f>
        <v>46388</v>
      </c>
      <c r="AW13" s="28">
        <f>VLOOKUP($B$6:$B$17,'REPORT -J MESS'!$B$6:$N$17,9,0)</f>
        <v>0</v>
      </c>
      <c r="AX13" s="28" t="str">
        <f>VLOOKUP($B$6:$B$17,'REPORT -J MESS'!$B$6:$N$17,10,0)</f>
        <v>0</v>
      </c>
      <c r="AY13" s="28">
        <f>VLOOKUP($B$6:$B$17,'REPORT -J MESS'!$B$6:$N$17,11,0)</f>
        <v>46388</v>
      </c>
      <c r="AZ13" s="28">
        <f>VLOOKUP($B$6:$B$17,'REPORT -J MESS'!$B$6:$N$17,12,0)</f>
        <v>1052</v>
      </c>
      <c r="BA13" s="28">
        <f>VLOOKUP($B$6:$B$17,'REPORT -J MESS'!$B$6:$N$17,13,0)</f>
        <v>2.2678278865223764</v>
      </c>
      <c r="BB13" s="29">
        <f t="shared" si="3"/>
        <v>5.3919075225022741</v>
      </c>
      <c r="BC13" s="28">
        <f>VLOOKUP($B$6:$B$17,'REPORT -MEENAKSHI MESS'!$B$5:$N$16,2,0)</f>
        <v>8170</v>
      </c>
      <c r="BD13" s="28">
        <f>VLOOKUP($B$6:$B$17,'REPORT -MEENAKSHI MESS'!$B$5:$N$16,3,0)</f>
        <v>181</v>
      </c>
      <c r="BE13" s="28">
        <f>VLOOKUP($B$6:$B$17,'REPORT -MEENAKSHI MESS'!$B$5:$N$16,4,0)</f>
        <v>2.215422276621787</v>
      </c>
      <c r="BF13" s="28">
        <f>VLOOKUP($B$6:$B$17,'REPORT -MEENAKSHI MESS'!$B$5:$N$16,5,0)</f>
        <v>11536</v>
      </c>
      <c r="BG13" s="28">
        <f>VLOOKUP($B$6:$B$17,'REPORT -MEENAKSHI MESS'!$B$5:$N$16,6,0)</f>
        <v>376</v>
      </c>
      <c r="BH13" s="28">
        <f>VLOOKUP($B$6:$B$17,'REPORT -MEENAKSHI MESS'!$B$5:$N$16,7,0)</f>
        <v>3.2593619972260748</v>
      </c>
      <c r="BI13" s="28">
        <f>VLOOKUP($B$6:$B$17,'REPORT -MEENAKSHI MESS'!$B$5:$N$16,8,0)</f>
        <v>12450</v>
      </c>
      <c r="BJ13" s="28">
        <f>VLOOKUP($B$6:$B$17,'REPORT -MEENAKSHI MESS'!$B$5:$N$16,9,0)</f>
        <v>0</v>
      </c>
      <c r="BK13" s="28" t="str">
        <f>VLOOKUP($B$6:$B$17,'REPORT -MEENAKSHI MESS'!$B$5:$N$16,10,0)</f>
        <v>0</v>
      </c>
      <c r="BL13" s="28">
        <f>VLOOKUP($B$6:$B$17,'REPORT -MEENAKSHI MESS'!$B$5:$N$16,11,0)</f>
        <v>12450</v>
      </c>
      <c r="BM13" s="28">
        <f>VLOOKUP($B$6:$B$17,'REPORT -MEENAKSHI MESS'!$B$5:$N$16,12,0)</f>
        <v>469</v>
      </c>
      <c r="BN13" s="28">
        <f>VLOOKUP($B$6:$B$17,'REPORT -MEENAKSHI MESS'!$B$5:$N$16,13,0)</f>
        <v>3.7670682730923692</v>
      </c>
      <c r="BO13" s="29">
        <f t="shared" si="4"/>
        <v>2.3104631367350574</v>
      </c>
      <c r="BP13" s="28">
        <f>VLOOKUP($B$6:$B$17,'REPORT -STAFF MESS'!$B$5:$N$16,2,0)</f>
        <v>20244</v>
      </c>
      <c r="BQ13" s="28">
        <f>VLOOKUP($B$6:$B$17,'REPORT -STAFF MESS'!$B$5:$N$16,3,0)</f>
        <v>713</v>
      </c>
      <c r="BR13" s="28">
        <f>VLOOKUP($B$6:$B$17,'REPORT -STAFF MESS'!$B$5:$N$16,4,0)</f>
        <v>3.5220312191266547</v>
      </c>
      <c r="BS13" s="28">
        <f>VLOOKUP($B$6:$B$17,'REPORT -STAFF MESS'!$B$5:$N$16,5,0)</f>
        <v>21583</v>
      </c>
      <c r="BT13" s="28">
        <f>VLOOKUP($B$6:$B$17,'REPORT -STAFF MESS'!$B$5:$N$16,6,0)</f>
        <v>1525</v>
      </c>
      <c r="BU13" s="28">
        <f>VLOOKUP($B$6:$B$17,'REPORT -STAFF MESS'!$B$5:$N$16,7,0)</f>
        <v>7.0657461891303344</v>
      </c>
      <c r="BV13" s="28">
        <f>VLOOKUP($B$6:$B$17,'REPORT -STAFF MESS'!$B$5:$N$16,8,0)</f>
        <v>10143</v>
      </c>
      <c r="BW13" s="28">
        <f>VLOOKUP($B$6:$B$17,'REPORT -STAFF MESS'!$B$5:$N$16,9,0)</f>
        <v>0</v>
      </c>
      <c r="BX13" s="28" t="str">
        <f>VLOOKUP($B$6:$B$17,'REPORT -STAFF MESS'!$B$5:$N$16,10,0)</f>
        <v>0</v>
      </c>
      <c r="BY13" s="28">
        <f>VLOOKUP($B$6:$B$17,'REPORT -STAFF MESS'!$B$5:$N$16,11,0)</f>
        <v>10143</v>
      </c>
      <c r="BZ13" s="28">
        <f>VLOOKUP($B$6:$B$17,'REPORT -STAFF MESS'!$B$5:$N$16,12,0)</f>
        <v>647</v>
      </c>
      <c r="CA13" s="28">
        <f>VLOOKUP($B$6:$B$17,'REPORT -STAFF MESS'!$B$5:$N$16,13,0)</f>
        <v>6.378783397416937</v>
      </c>
      <c r="CB13" s="35">
        <f t="shared" si="5"/>
        <v>4.2416402014184822</v>
      </c>
      <c r="CD13" s="24"/>
      <c r="CH13" s="24"/>
    </row>
    <row r="14" spans="1:86" x14ac:dyDescent="0.3">
      <c r="A14" s="26">
        <v>9</v>
      </c>
      <c r="B14" s="25" t="s">
        <v>13</v>
      </c>
      <c r="C14" s="28">
        <f>VLOOKUP($B$6:$B$17,'REPORT - SANNASI MESS'!$B$5:$N$16,2,0)</f>
        <v>41510</v>
      </c>
      <c r="D14" s="28">
        <f>VLOOKUP($B$6:$B$17,'REPORT - SANNASI MESS'!$B$5:$N$16,3,0)</f>
        <v>694</v>
      </c>
      <c r="E14" s="28">
        <f>VLOOKUP($B$6:$B$17,'REPORT - SANNASI MESS'!$B$5:$N$16,4,0)</f>
        <v>1.6718862924596483</v>
      </c>
      <c r="F14" s="28">
        <f>VLOOKUP($B$6:$B$17,'REPORT - SANNASI MESS'!$B$5:$N$16,5,0)</f>
        <v>85051</v>
      </c>
      <c r="G14" s="28">
        <f>VLOOKUP($B$6:$B$17,'REPORT - SANNASI MESS'!$B$5:$N$16,6,0)</f>
        <v>3254</v>
      </c>
      <c r="H14" s="28">
        <f>VLOOKUP($B$6:$B$17,'REPORT - SANNASI MESS'!$B$5:$N$16,7,0)</f>
        <v>3.8259397302794795</v>
      </c>
      <c r="I14" s="28">
        <f>VLOOKUP($B$6:$B$17,'REPORT - SANNASI MESS'!$B$5:$N$16,8,0)</f>
        <v>78921</v>
      </c>
      <c r="J14" s="28">
        <f>VLOOKUP($B$6:$B$17,'REPORT - SANNASI MESS'!$B$5:$N$16,9,0)</f>
        <v>0</v>
      </c>
      <c r="K14" s="28" t="str">
        <f>VLOOKUP($B$6:$B$17,'REPORT - SANNASI MESS'!$B$5:$N$16,10,0)</f>
        <v>0</v>
      </c>
      <c r="L14" s="28">
        <f>VLOOKUP($B$6:$B$17,'REPORT - SANNASI MESS'!$B$5:$N$16,11,0)</f>
        <v>79121</v>
      </c>
      <c r="M14" s="28">
        <f>VLOOKUP($B$6:$B$17,'REPORT - SANNASI MESS'!$B$5:$N$16,12,0)</f>
        <v>4447</v>
      </c>
      <c r="N14" s="28">
        <f>VLOOKUP($B$6:$B$17,'REPORT - SANNASI MESS'!$B$5:$N$16,13,0)</f>
        <v>5.620505302005788</v>
      </c>
      <c r="O14" s="29">
        <f t="shared" si="0"/>
        <v>2.7795828311862287</v>
      </c>
      <c r="P14" s="28">
        <f>VLOOKUP($B$6:$B$17,'REPORT -D-MESS'!$B$5:$N$16,2,0)</f>
        <v>4976</v>
      </c>
      <c r="Q14" s="28">
        <f>VLOOKUP($B$6:$B$17,'REPORT -D-MESS'!$B$5:$N$16,3,0)</f>
        <v>205</v>
      </c>
      <c r="R14" s="28">
        <f>VLOOKUP($B$6:$B$17,'REPORT -D-MESS'!$B$5:$N$16,4,0)</f>
        <v>4.119774919614148</v>
      </c>
      <c r="S14" s="28">
        <f>VLOOKUP($B$6:$B$17,'REPORT -D-MESS'!$B$5:$N$16,5,0)</f>
        <v>8673</v>
      </c>
      <c r="T14" s="28">
        <f>VLOOKUP($B$6:$B$17,'REPORT -D-MESS'!$B$5:$N$16,6,0)</f>
        <v>468</v>
      </c>
      <c r="U14" s="28">
        <f>VLOOKUP($B$6:$B$17,'REPORT -D-MESS'!$B$5:$N$16,7,0)</f>
        <v>5.3960567277758562</v>
      </c>
      <c r="V14" s="28">
        <f>VLOOKUP($B$6:$B$17,'REPORT -D-MESS'!$B$5:$N$16,8,0)</f>
        <v>10715</v>
      </c>
      <c r="W14" s="28">
        <f>VLOOKUP($B$6:$B$17,'REPORT -D-MESS'!$B$5:$N$16,9,0)</f>
        <v>0</v>
      </c>
      <c r="X14" s="28" t="str">
        <f>VLOOKUP($B$6:$B$17,'REPORT -D-MESS'!$B$5:$N$16,10,0)</f>
        <v>0</v>
      </c>
      <c r="Y14" s="28">
        <f>VLOOKUP($B$6:$B$17,'REPORT -D-MESS'!$B$5:$N$16,11,0)</f>
        <v>10715</v>
      </c>
      <c r="Z14" s="28">
        <f>VLOOKUP($B$6:$B$17,'REPORT -D-MESS'!$B$5:$N$16,12,0)</f>
        <v>525</v>
      </c>
      <c r="AA14" s="28">
        <f>VLOOKUP($B$6:$B$17,'REPORT -D-MESS'!$B$5:$N$16,13,0)</f>
        <v>4.899673355109659</v>
      </c>
      <c r="AB14" s="29">
        <f t="shared" si="1"/>
        <v>3.603876250624916</v>
      </c>
      <c r="AC14" s="28">
        <f>VLOOKUP($B$6:$B$17,'REPORT -SENBAGAM MESS'!$B$5:$N$16,2,0)</f>
        <v>15635</v>
      </c>
      <c r="AD14" s="28">
        <f>VLOOKUP($B$6:$B$17,'REPORT -SENBAGAM MESS'!$B$5:$N$16,3,0)</f>
        <v>389</v>
      </c>
      <c r="AE14" s="28">
        <f>VLOOKUP($B$6:$B$17,'REPORT -SENBAGAM MESS'!$B$5:$N$16,4,0)</f>
        <v>2.4880076750879434</v>
      </c>
      <c r="AF14" s="28">
        <f>VLOOKUP($B$6:$B$17,'REPORT -SENBAGAM MESS'!$B$5:$N$16,5,0)</f>
        <v>20235</v>
      </c>
      <c r="AG14" s="28">
        <f>VLOOKUP($B$6:$B$17,'REPORT -SENBAGAM MESS'!$B$5:$N$16,6,0)</f>
        <v>659</v>
      </c>
      <c r="AH14" s="28">
        <f>VLOOKUP($B$6:$B$17,'REPORT -SENBAGAM MESS'!$B$5:$N$16,7,0)</f>
        <v>3.2567333827526563</v>
      </c>
      <c r="AI14" s="28">
        <f>VLOOKUP($B$6:$B$17,'REPORT -SENBAGAM MESS'!$B$5:$N$16,8,0)</f>
        <v>21520</v>
      </c>
      <c r="AJ14" s="28">
        <f>VLOOKUP($B$6:$B$17,'REPORT -SENBAGAM MESS'!$B$5:$N$16,9,0)</f>
        <v>0</v>
      </c>
      <c r="AK14" s="28" t="str">
        <f>VLOOKUP($B$6:$B$17,'REPORT -SENBAGAM MESS'!$B$5:$N$16,10,0)</f>
        <v>0</v>
      </c>
      <c r="AL14" s="28">
        <f>VLOOKUP($B$6:$B$17,'REPORT -SENBAGAM MESS'!$B$5:$N$16,11,0)</f>
        <v>21640</v>
      </c>
      <c r="AM14" s="28">
        <f>VLOOKUP($B$6:$B$17,'REPORT -SENBAGAM MESS'!$B$5:$N$16,12,0)</f>
        <v>838</v>
      </c>
      <c r="AN14" s="28">
        <f>VLOOKUP($B$6:$B$17,'REPORT -SENBAGAM MESS'!$B$5:$N$16,13,0)</f>
        <v>3.8724584103512019</v>
      </c>
      <c r="AO14" s="29">
        <f t="shared" si="2"/>
        <v>6.7128556604283993</v>
      </c>
      <c r="AP14" s="28">
        <f>VLOOKUP($B$6:$B$17,'REPORT -J MESS'!$B$6:$N$17,2,0)</f>
        <v>8377</v>
      </c>
      <c r="AQ14" s="28">
        <f>VLOOKUP($B$6:$B$17,'REPORT -J MESS'!$B$6:$N$17,3,0)</f>
        <v>237</v>
      </c>
      <c r="AR14" s="28">
        <f>VLOOKUP($B$6:$B$17,'REPORT -J MESS'!$B$6:$N$17,4,0)</f>
        <v>2.8291751223588397</v>
      </c>
      <c r="AS14" s="28">
        <f>VLOOKUP($B$6:$B$17,'REPORT -J MESS'!$B$6:$N$17,5,0)</f>
        <v>9939</v>
      </c>
      <c r="AT14" s="28">
        <f>VLOOKUP($B$6:$B$17,'REPORT -J MESS'!$B$6:$N$17,6,0)</f>
        <v>306</v>
      </c>
      <c r="AU14" s="28">
        <f>VLOOKUP($B$6:$B$17,'REPORT -J MESS'!$B$6:$N$17,7,0)</f>
        <v>3.0787805614246904</v>
      </c>
      <c r="AV14" s="28">
        <f>VLOOKUP($B$6:$B$17,'REPORT -J MESS'!$B$6:$N$17,8,0)</f>
        <v>9655</v>
      </c>
      <c r="AW14" s="28">
        <f>VLOOKUP($B$6:$B$17,'REPORT -J MESS'!$B$6:$N$17,9,0)</f>
        <v>0</v>
      </c>
      <c r="AX14" s="28" t="str">
        <f>VLOOKUP($B$6:$B$17,'REPORT -J MESS'!$B$6:$N$17,10,0)</f>
        <v>0</v>
      </c>
      <c r="AY14" s="28">
        <f>VLOOKUP($B$6:$B$17,'REPORT -J MESS'!$B$6:$N$17,11,0)</f>
        <v>9655</v>
      </c>
      <c r="AZ14" s="28">
        <f>VLOOKUP($B$6:$B$17,'REPORT -J MESS'!$B$6:$N$17,12,0)</f>
        <v>436</v>
      </c>
      <c r="BA14" s="28">
        <f>VLOOKUP($B$6:$B$17,'REPORT -J MESS'!$B$6:$N$17,13,0)</f>
        <v>4.5157949249093736</v>
      </c>
      <c r="BB14" s="29">
        <f t="shared" si="3"/>
        <v>7.0369044150108735</v>
      </c>
      <c r="BC14" s="28">
        <f>VLOOKUP($B$6:$B$17,'REPORT -MEENAKSHI MESS'!$B$5:$N$16,2,0)</f>
        <v>5311</v>
      </c>
      <c r="BD14" s="28">
        <f>VLOOKUP($B$6:$B$17,'REPORT -MEENAKSHI MESS'!$B$5:$N$16,3,0)</f>
        <v>116</v>
      </c>
      <c r="BE14" s="28">
        <f>VLOOKUP($B$6:$B$17,'REPORT -MEENAKSHI MESS'!$B$5:$N$16,4,0)</f>
        <v>2.1841461118433441</v>
      </c>
      <c r="BF14" s="28">
        <f>VLOOKUP($B$6:$B$17,'REPORT -MEENAKSHI MESS'!$B$5:$N$16,5,0)</f>
        <v>6570</v>
      </c>
      <c r="BG14" s="28">
        <f>VLOOKUP($B$6:$B$17,'REPORT -MEENAKSHI MESS'!$B$5:$N$16,6,0)</f>
        <v>241</v>
      </c>
      <c r="BH14" s="28">
        <f>VLOOKUP($B$6:$B$17,'REPORT -MEENAKSHI MESS'!$B$5:$N$16,7,0)</f>
        <v>3.6681887366818868</v>
      </c>
      <c r="BI14" s="28">
        <f>VLOOKUP($B$6:$B$17,'REPORT -MEENAKSHI MESS'!$B$5:$N$16,8,0)</f>
        <v>7129</v>
      </c>
      <c r="BJ14" s="28">
        <f>VLOOKUP($B$6:$B$17,'REPORT -MEENAKSHI MESS'!$B$5:$N$16,9,0)</f>
        <v>0</v>
      </c>
      <c r="BK14" s="28" t="str">
        <f>VLOOKUP($B$6:$B$17,'REPORT -MEENAKSHI MESS'!$B$5:$N$16,10,0)</f>
        <v>0</v>
      </c>
      <c r="BL14" s="28">
        <f>VLOOKUP($B$6:$B$17,'REPORT -MEENAKSHI MESS'!$B$5:$N$16,11,0)</f>
        <v>7162</v>
      </c>
      <c r="BM14" s="28">
        <f>VLOOKUP($B$6:$B$17,'REPORT -MEENAKSHI MESS'!$B$5:$N$16,12,0)</f>
        <v>301</v>
      </c>
      <c r="BN14" s="28">
        <f>VLOOKUP($B$6:$B$17,'REPORT -MEENAKSHI MESS'!$B$5:$N$16,13,0)</f>
        <v>4.202736665735828</v>
      </c>
      <c r="BO14" s="29">
        <f t="shared" si="4"/>
        <v>2.5137678785652646</v>
      </c>
      <c r="BP14" s="28">
        <f>VLOOKUP($B$6:$B$17,'REPORT -STAFF MESS'!$B$5:$N$16,2,0)</f>
        <v>20462</v>
      </c>
      <c r="BQ14" s="28">
        <f>VLOOKUP($B$6:$B$17,'REPORT -STAFF MESS'!$B$5:$N$16,3,0)</f>
        <v>762</v>
      </c>
      <c r="BR14" s="28">
        <f>VLOOKUP($B$6:$B$17,'REPORT -STAFF MESS'!$B$5:$N$16,4,0)</f>
        <v>3.7239761509138893</v>
      </c>
      <c r="BS14" s="28">
        <f>VLOOKUP($B$6:$B$17,'REPORT -STAFF MESS'!$B$5:$N$16,5,0)</f>
        <v>21808</v>
      </c>
      <c r="BT14" s="28">
        <f>VLOOKUP($B$6:$B$17,'REPORT -STAFF MESS'!$B$5:$N$16,6,0)</f>
        <v>1474</v>
      </c>
      <c r="BU14" s="28">
        <f>VLOOKUP($B$6:$B$17,'REPORT -STAFF MESS'!$B$5:$N$16,7,0)</f>
        <v>6.7589875275128399</v>
      </c>
      <c r="BV14" s="28">
        <f>VLOOKUP($B$6:$B$17,'REPORT -STAFF MESS'!$B$5:$N$16,8,0)</f>
        <v>8604</v>
      </c>
      <c r="BW14" s="28">
        <f>VLOOKUP($B$6:$B$17,'REPORT -STAFF MESS'!$B$5:$N$16,9,0)</f>
        <v>0</v>
      </c>
      <c r="BX14" s="28" t="str">
        <f>VLOOKUP($B$6:$B$17,'REPORT -STAFF MESS'!$B$5:$N$16,10,0)</f>
        <v>0</v>
      </c>
      <c r="BY14" s="28">
        <f>VLOOKUP($B$6:$B$17,'REPORT -STAFF MESS'!$B$5:$N$16,11,0)</f>
        <v>8604</v>
      </c>
      <c r="BZ14" s="28">
        <f>VLOOKUP($B$6:$B$17,'REPORT -STAFF MESS'!$B$5:$N$16,12,0)</f>
        <v>566</v>
      </c>
      <c r="CA14" s="28">
        <f>VLOOKUP($B$6:$B$17,'REPORT -STAFF MESS'!$B$5:$N$16,13,0)</f>
        <v>6.5783356578335654</v>
      </c>
      <c r="CB14" s="35">
        <f t="shared" si="5"/>
        <v>4.2653248340650736</v>
      </c>
      <c r="CD14" s="24"/>
      <c r="CH14" s="24"/>
    </row>
    <row r="15" spans="1:86" x14ac:dyDescent="0.3">
      <c r="A15" s="26">
        <v>10</v>
      </c>
      <c r="B15" s="25" t="s">
        <v>14</v>
      </c>
      <c r="C15" s="28">
        <f>VLOOKUP($B$6:$B$17,'REPORT - SANNASI MESS'!$B$5:$N$16,2,0)</f>
        <v>63766</v>
      </c>
      <c r="D15" s="28">
        <f>VLOOKUP($B$6:$B$17,'REPORT - SANNASI MESS'!$B$5:$N$16,3,0)</f>
        <v>765</v>
      </c>
      <c r="E15" s="28">
        <f>VLOOKUP($B$6:$B$17,'REPORT - SANNASI MESS'!$B$5:$N$16,4,0)</f>
        <v>1.1996988990998336</v>
      </c>
      <c r="F15" s="28">
        <f>VLOOKUP($B$6:$B$17,'REPORT - SANNASI MESS'!$B$5:$N$16,5,0)</f>
        <v>120981</v>
      </c>
      <c r="G15" s="28">
        <f>VLOOKUP($B$6:$B$17,'REPORT - SANNASI MESS'!$B$5:$N$16,6,0)</f>
        <v>3937</v>
      </c>
      <c r="H15" s="28">
        <f>VLOOKUP($B$6:$B$17,'REPORT - SANNASI MESS'!$B$5:$N$16,7,0)</f>
        <v>3.2542300030583315</v>
      </c>
      <c r="I15" s="28">
        <f>VLOOKUP($B$6:$B$17,'REPORT - SANNASI MESS'!$B$5:$N$16,8,0)</f>
        <v>112366</v>
      </c>
      <c r="J15" s="28">
        <f>VLOOKUP($B$6:$B$17,'REPORT - SANNASI MESS'!$B$5:$N$16,9,0)</f>
        <v>0</v>
      </c>
      <c r="K15" s="28" t="str">
        <f>VLOOKUP($B$6:$B$17,'REPORT - SANNASI MESS'!$B$5:$N$16,10,0)</f>
        <v>0</v>
      </c>
      <c r="L15" s="28">
        <f>VLOOKUP($B$6:$B$17,'REPORT - SANNASI MESS'!$B$5:$N$16,11,0)</f>
        <v>113466</v>
      </c>
      <c r="M15" s="28">
        <f>VLOOKUP($B$6:$B$17,'REPORT - SANNASI MESS'!$B$5:$N$16,12,0)</f>
        <v>4753</v>
      </c>
      <c r="N15" s="28">
        <f>VLOOKUP($B$6:$B$17,'REPORT - SANNASI MESS'!$B$5:$N$16,13,0)</f>
        <v>4.1889200289073374</v>
      </c>
      <c r="O15" s="29">
        <f t="shared" si="0"/>
        <v>2.1607122327663757</v>
      </c>
      <c r="P15" s="28">
        <f>VLOOKUP($B$6:$B$17,'REPORT -D-MESS'!$B$5:$N$16,2,0)</f>
        <v>1395</v>
      </c>
      <c r="Q15" s="28">
        <f>VLOOKUP($B$6:$B$17,'REPORT -D-MESS'!$B$5:$N$16,3,0)</f>
        <v>0</v>
      </c>
      <c r="R15" s="28">
        <f>VLOOKUP($B$6:$B$17,'REPORT -D-MESS'!$B$5:$N$16,4,0)</f>
        <v>0</v>
      </c>
      <c r="S15" s="28">
        <f>VLOOKUP($B$6:$B$17,'REPORT -D-MESS'!$B$5:$N$16,5,0)</f>
        <v>1250</v>
      </c>
      <c r="T15" s="28">
        <f>VLOOKUP($B$6:$B$17,'REPORT -D-MESS'!$B$5:$N$16,6,0)</f>
        <v>0</v>
      </c>
      <c r="U15" s="28">
        <f>VLOOKUP($B$6:$B$17,'REPORT -D-MESS'!$B$5:$N$16,7,0)</f>
        <v>0</v>
      </c>
      <c r="V15" s="28">
        <f>VLOOKUP($B$6:$B$17,'REPORT -D-MESS'!$B$5:$N$16,8,0)</f>
        <v>3480</v>
      </c>
      <c r="W15" s="28">
        <f>VLOOKUP($B$6:$B$17,'REPORT -D-MESS'!$B$5:$N$16,9,0)</f>
        <v>0</v>
      </c>
      <c r="X15" s="28" t="str">
        <f>VLOOKUP($B$6:$B$17,'REPORT -D-MESS'!$B$5:$N$16,10,0)</f>
        <v>0</v>
      </c>
      <c r="Y15" s="28">
        <f>VLOOKUP($B$6:$B$17,'REPORT -D-MESS'!$B$5:$N$16,11,0)</f>
        <v>3480</v>
      </c>
      <c r="Z15" s="28">
        <f>VLOOKUP($B$6:$B$17,'REPORT -D-MESS'!$B$5:$N$16,12,0)</f>
        <v>0</v>
      </c>
      <c r="AA15" s="28">
        <f>VLOOKUP($B$6:$B$17,'REPORT -D-MESS'!$B$5:$N$16,13,0)</f>
        <v>0</v>
      </c>
      <c r="AB15" s="29">
        <f t="shared" si="1"/>
        <v>0</v>
      </c>
      <c r="AC15" s="28">
        <f>VLOOKUP($B$6:$B$17,'REPORT -SENBAGAM MESS'!$B$5:$N$16,2,0)</f>
        <v>20310</v>
      </c>
      <c r="AD15" s="28">
        <f>VLOOKUP($B$6:$B$17,'REPORT -SENBAGAM MESS'!$B$5:$N$16,3,0)</f>
        <v>254</v>
      </c>
      <c r="AE15" s="28">
        <f>VLOOKUP($B$6:$B$17,'REPORT -SENBAGAM MESS'!$B$5:$N$16,4,0)</f>
        <v>1.2506154603643527</v>
      </c>
      <c r="AF15" s="28">
        <f>VLOOKUP($B$6:$B$17,'REPORT -SENBAGAM MESS'!$B$5:$N$16,5,0)</f>
        <v>24910</v>
      </c>
      <c r="AG15" s="28">
        <f>VLOOKUP($B$6:$B$17,'REPORT -SENBAGAM MESS'!$B$5:$N$16,6,0)</f>
        <v>424</v>
      </c>
      <c r="AH15" s="28">
        <f>VLOOKUP($B$6:$B$17,'REPORT -SENBAGAM MESS'!$B$5:$N$16,7,0)</f>
        <v>1.7021276595744681</v>
      </c>
      <c r="AI15" s="28">
        <f>VLOOKUP($B$6:$B$17,'REPORT -SENBAGAM MESS'!$B$5:$N$16,8,0)</f>
        <v>26700</v>
      </c>
      <c r="AJ15" s="28">
        <f>VLOOKUP($B$6:$B$17,'REPORT -SENBAGAM MESS'!$B$5:$N$16,9,0)</f>
        <v>0</v>
      </c>
      <c r="AK15" s="28" t="str">
        <f>VLOOKUP($B$6:$B$17,'REPORT -SENBAGAM MESS'!$B$5:$N$16,10,0)</f>
        <v>0</v>
      </c>
      <c r="AL15" s="28">
        <f>VLOOKUP($B$6:$B$17,'REPORT -SENBAGAM MESS'!$B$5:$N$16,11,0)</f>
        <v>27480</v>
      </c>
      <c r="AM15" s="28">
        <f>VLOOKUP($B$6:$B$17,'REPORT -SENBAGAM MESS'!$B$5:$N$16,12,0)</f>
        <v>530</v>
      </c>
      <c r="AN15" s="28">
        <f>VLOOKUP($B$6:$B$17,'REPORT -SENBAGAM MESS'!$B$5:$N$16,13,0)</f>
        <v>1.9286754002911208</v>
      </c>
      <c r="AO15" s="29">
        <f t="shared" si="2"/>
        <v>3.4349119700116009</v>
      </c>
      <c r="AP15" s="28">
        <f>VLOOKUP($B$6:$B$17,'REPORT -J MESS'!$B$6:$N$17,2,0)</f>
        <v>8000</v>
      </c>
      <c r="AQ15" s="28">
        <f>VLOOKUP($B$6:$B$17,'REPORT -J MESS'!$B$6:$N$17,3,0)</f>
        <v>121</v>
      </c>
      <c r="AR15" s="28">
        <f>VLOOKUP($B$6:$B$17,'REPORT -J MESS'!$B$6:$N$17,4,0)</f>
        <v>1.5125</v>
      </c>
      <c r="AS15" s="28">
        <f>VLOOKUP($B$6:$B$17,'REPORT -J MESS'!$B$6:$N$17,5,0)</f>
        <v>12378</v>
      </c>
      <c r="AT15" s="28">
        <f>VLOOKUP($B$6:$B$17,'REPORT -J MESS'!$B$6:$N$17,6,0)</f>
        <v>160</v>
      </c>
      <c r="AU15" s="28">
        <f>VLOOKUP($B$6:$B$17,'REPORT -J MESS'!$B$6:$N$17,7,0)</f>
        <v>1.2926159314913557</v>
      </c>
      <c r="AV15" s="28">
        <f>VLOOKUP($B$6:$B$17,'REPORT -J MESS'!$B$6:$N$17,8,0)</f>
        <v>12944</v>
      </c>
      <c r="AW15" s="28">
        <f>VLOOKUP($B$6:$B$17,'REPORT -J MESS'!$B$6:$N$17,9,0)</f>
        <v>0</v>
      </c>
      <c r="AX15" s="28" t="str">
        <f>VLOOKUP($B$6:$B$17,'REPORT -J MESS'!$B$6:$N$17,10,0)</f>
        <v>0</v>
      </c>
      <c r="AY15" s="28">
        <f>VLOOKUP($B$6:$B$17,'REPORT -J MESS'!$B$6:$N$17,11,0)</f>
        <v>13894</v>
      </c>
      <c r="AZ15" s="28">
        <f>VLOOKUP($B$6:$B$17,'REPORT -J MESS'!$B$6:$N$17,12,0)</f>
        <v>165</v>
      </c>
      <c r="BA15" s="28">
        <f>VLOOKUP($B$6:$B$17,'REPORT -J MESS'!$B$6:$N$17,13,0)</f>
        <v>1.1875629768245286</v>
      </c>
      <c r="BB15" s="29">
        <f t="shared" si="3"/>
        <v>3.102006675697488</v>
      </c>
      <c r="BC15" s="28">
        <f>VLOOKUP($B$6:$B$17,'REPORT -MEENAKSHI MESS'!$B$5:$N$16,2,0)</f>
        <v>6037</v>
      </c>
      <c r="BD15" s="28">
        <f>VLOOKUP($B$6:$B$17,'REPORT -MEENAKSHI MESS'!$B$5:$N$16,3,0)</f>
        <v>135</v>
      </c>
      <c r="BE15" s="28">
        <f>VLOOKUP($B$6:$B$17,'REPORT -MEENAKSHI MESS'!$B$5:$N$16,4,0)</f>
        <v>2.2362100380983931</v>
      </c>
      <c r="BF15" s="28">
        <f>VLOOKUP($B$6:$B$17,'REPORT -MEENAKSHI MESS'!$B$5:$N$16,5,0)</f>
        <v>10480</v>
      </c>
      <c r="BG15" s="28">
        <f>VLOOKUP($B$6:$B$17,'REPORT -MEENAKSHI MESS'!$B$5:$N$16,6,0)</f>
        <v>245</v>
      </c>
      <c r="BH15" s="28">
        <f>VLOOKUP($B$6:$B$17,'REPORT -MEENAKSHI MESS'!$B$5:$N$16,7,0)</f>
        <v>2.3377862595419847</v>
      </c>
      <c r="BI15" s="28">
        <f>VLOOKUP($B$6:$B$17,'REPORT -MEENAKSHI MESS'!$B$5:$N$16,8,0)</f>
        <v>8330</v>
      </c>
      <c r="BJ15" s="28">
        <f>VLOOKUP($B$6:$B$17,'REPORT -MEENAKSHI MESS'!$B$5:$N$16,9,0)</f>
        <v>0</v>
      </c>
      <c r="BK15" s="28" t="str">
        <f>VLOOKUP($B$6:$B$17,'REPORT -MEENAKSHI MESS'!$B$5:$N$16,10,0)</f>
        <v>0</v>
      </c>
      <c r="BL15" s="28">
        <f>VLOOKUP($B$6:$B$17,'REPORT -MEENAKSHI MESS'!$B$5:$N$16,11,0)</f>
        <v>8360</v>
      </c>
      <c r="BM15" s="28">
        <f>VLOOKUP($B$6:$B$17,'REPORT -MEENAKSHI MESS'!$B$5:$N$16,12,0)</f>
        <v>299</v>
      </c>
      <c r="BN15" s="28">
        <f>VLOOKUP($B$6:$B$17,'REPORT -MEENAKSHI MESS'!$B$5:$N$16,13,0)</f>
        <v>3.5765550239234454</v>
      </c>
      <c r="BO15" s="29">
        <f t="shared" si="4"/>
        <v>2.0376378303909557</v>
      </c>
      <c r="BP15" s="28">
        <f>VLOOKUP($B$6:$B$17,'REPORT -STAFF MESS'!$B$5:$N$16,2,0)</f>
        <v>21647</v>
      </c>
      <c r="BQ15" s="28">
        <f>VLOOKUP($B$6:$B$17,'REPORT -STAFF MESS'!$B$5:$N$16,3,0)</f>
        <v>679</v>
      </c>
      <c r="BR15" s="28">
        <f>VLOOKUP($B$6:$B$17,'REPORT -STAFF MESS'!$B$5:$N$16,4,0)</f>
        <v>3.1366933062318103</v>
      </c>
      <c r="BS15" s="28">
        <f>VLOOKUP($B$6:$B$17,'REPORT -STAFF MESS'!$B$5:$N$16,5,0)</f>
        <v>21145</v>
      </c>
      <c r="BT15" s="28">
        <f>VLOOKUP($B$6:$B$17,'REPORT -STAFF MESS'!$B$5:$N$16,6,0)</f>
        <v>1287</v>
      </c>
      <c r="BU15" s="28">
        <f>VLOOKUP($B$6:$B$17,'REPORT -STAFF MESS'!$B$5:$N$16,7,0)</f>
        <v>6.086545282572712</v>
      </c>
      <c r="BV15" s="28">
        <f>VLOOKUP($B$6:$B$17,'REPORT -STAFF MESS'!$B$5:$N$16,8,0)</f>
        <v>8859</v>
      </c>
      <c r="BW15" s="28">
        <f>VLOOKUP($B$6:$B$17,'REPORT -STAFF MESS'!$B$5:$N$16,9,0)</f>
        <v>0</v>
      </c>
      <c r="BX15" s="28" t="str">
        <f>VLOOKUP($B$6:$B$17,'REPORT -STAFF MESS'!$B$5:$N$16,10,0)</f>
        <v>0</v>
      </c>
      <c r="BY15" s="28">
        <f>VLOOKUP($B$6:$B$17,'REPORT -STAFF MESS'!$B$5:$N$16,11,0)</f>
        <v>8689</v>
      </c>
      <c r="BZ15" s="28">
        <f>VLOOKUP($B$6:$B$17,'REPORT -STAFF MESS'!$B$5:$N$16,12,0)</f>
        <v>575</v>
      </c>
      <c r="CA15" s="28">
        <f>VLOOKUP($B$6:$B$17,'REPORT -STAFF MESS'!$B$5:$N$16,13,0)</f>
        <v>6.6175624352629763</v>
      </c>
      <c r="CB15" s="35">
        <f t="shared" si="5"/>
        <v>3.9602002560168748</v>
      </c>
      <c r="CD15" s="24"/>
      <c r="CH15" s="24"/>
    </row>
    <row r="16" spans="1:86" x14ac:dyDescent="0.3">
      <c r="A16" s="26">
        <v>11</v>
      </c>
      <c r="B16" s="25" t="s">
        <v>15</v>
      </c>
      <c r="C16" s="28">
        <f>VLOOKUP($B$6:$B$17,'REPORT - SANNASI MESS'!$B$5:$N$16,2,0)</f>
        <v>54206</v>
      </c>
      <c r="D16" s="28">
        <f>VLOOKUP($B$6:$B$17,'REPORT - SANNASI MESS'!$B$5:$N$16,3,0)</f>
        <v>1120</v>
      </c>
      <c r="E16" s="28">
        <f>VLOOKUP($B$6:$B$17,'REPORT - SANNASI MESS'!$B$5:$N$16,4,0)</f>
        <v>2.0661919344721986</v>
      </c>
      <c r="F16" s="28">
        <f>VLOOKUP($B$6:$B$17,'REPORT - SANNASI MESS'!$B$5:$N$16,5,0)</f>
        <v>155689</v>
      </c>
      <c r="G16" s="28">
        <f>VLOOKUP($B$6:$B$17,'REPORT - SANNASI MESS'!$B$5:$N$16,6,0)</f>
        <v>3907</v>
      </c>
      <c r="H16" s="28">
        <f>VLOOKUP($B$6:$B$17,'REPORT - SANNASI MESS'!$B$5:$N$16,7,0)</f>
        <v>2.5094900731586689</v>
      </c>
      <c r="I16" s="28">
        <f>VLOOKUP($B$6:$B$17,'REPORT - SANNASI MESS'!$B$5:$N$16,8,0)</f>
        <v>168926</v>
      </c>
      <c r="J16" s="28">
        <f>VLOOKUP($B$6:$B$17,'REPORT - SANNASI MESS'!$B$5:$N$16,9,0)</f>
        <v>0</v>
      </c>
      <c r="K16" s="28" t="str">
        <f>VLOOKUP($B$6:$B$17,'REPORT - SANNASI MESS'!$B$5:$N$16,10,0)</f>
        <v>0</v>
      </c>
      <c r="L16" s="28">
        <f>VLOOKUP($B$6:$B$17,'REPORT - SANNASI MESS'!$B$5:$N$16,11,0)</f>
        <v>165326</v>
      </c>
      <c r="M16" s="28">
        <f>VLOOKUP($B$6:$B$17,'REPORT - SANNASI MESS'!$B$5:$N$16,12,0)</f>
        <v>5306</v>
      </c>
      <c r="N16" s="28">
        <f>VLOOKUP($B$6:$B$17,'REPORT - SANNASI MESS'!$B$5:$N$16,13,0)</f>
        <v>3.2094165467016684</v>
      </c>
      <c r="O16" s="29">
        <f t="shared" si="0"/>
        <v>1.9462746385831338</v>
      </c>
      <c r="P16" s="28">
        <f>VLOOKUP($B$6:$B$17,'REPORT -D-MESS'!$B$5:$N$16,2,0)</f>
        <v>22356</v>
      </c>
      <c r="Q16" s="28">
        <f>VLOOKUP($B$6:$B$17,'REPORT -D-MESS'!$B$5:$N$16,3,0)</f>
        <v>887</v>
      </c>
      <c r="R16" s="28">
        <f>VLOOKUP($B$6:$B$17,'REPORT -D-MESS'!$B$5:$N$16,4,0)</f>
        <v>3.9676149579531224</v>
      </c>
      <c r="S16" s="28">
        <f>VLOOKUP($B$6:$B$17,'REPORT -D-MESS'!$B$5:$N$16,5,0)</f>
        <v>43656</v>
      </c>
      <c r="T16" s="28">
        <f>VLOOKUP($B$6:$B$17,'REPORT -D-MESS'!$B$5:$N$16,6,0)</f>
        <v>1680</v>
      </c>
      <c r="U16" s="28">
        <f>VLOOKUP($B$6:$B$17,'REPORT -D-MESS'!$B$5:$N$16,7,0)</f>
        <v>3.8482682792743264</v>
      </c>
      <c r="V16" s="28">
        <f>VLOOKUP($B$6:$B$17,'REPORT -D-MESS'!$B$5:$N$16,8,0)</f>
        <v>51643</v>
      </c>
      <c r="W16" s="28">
        <f>VLOOKUP($B$6:$B$17,'REPORT -D-MESS'!$B$5:$N$16,9,0)</f>
        <v>0</v>
      </c>
      <c r="X16" s="28" t="str">
        <f>VLOOKUP($B$6:$B$17,'REPORT -D-MESS'!$B$5:$N$16,10,0)</f>
        <v>0</v>
      </c>
      <c r="Y16" s="28">
        <f>VLOOKUP($B$6:$B$17,'REPORT -D-MESS'!$B$5:$N$16,11,0)</f>
        <v>51643</v>
      </c>
      <c r="Z16" s="28">
        <f>VLOOKUP($B$6:$B$17,'REPORT -D-MESS'!$B$5:$N$16,12,0)</f>
        <v>1867</v>
      </c>
      <c r="AA16" s="28">
        <f>VLOOKUP($B$6:$B$17,'REPORT -D-MESS'!$B$5:$N$16,13,0)</f>
        <v>3.6152043839436128</v>
      </c>
      <c r="AB16" s="29">
        <f t="shared" si="1"/>
        <v>2.8577719052927653</v>
      </c>
      <c r="AC16" s="28">
        <f>VLOOKUP($B$6:$B$17,'REPORT -SENBAGAM MESS'!$B$5:$N$16,2,0)</f>
        <v>28741</v>
      </c>
      <c r="AD16" s="28">
        <f>VLOOKUP($B$6:$B$17,'REPORT -SENBAGAM MESS'!$B$5:$N$16,3,0)</f>
        <v>532</v>
      </c>
      <c r="AE16" s="28">
        <f>VLOOKUP($B$6:$B$17,'REPORT -SENBAGAM MESS'!$B$5:$N$16,4,0)</f>
        <v>1.8510142305417348</v>
      </c>
      <c r="AF16" s="28">
        <f>VLOOKUP($B$6:$B$17,'REPORT -SENBAGAM MESS'!$B$5:$N$16,5,0)</f>
        <v>42120</v>
      </c>
      <c r="AG16" s="28">
        <f>VLOOKUP($B$6:$B$17,'REPORT -SENBAGAM MESS'!$B$5:$N$16,6,0)</f>
        <v>971</v>
      </c>
      <c r="AH16" s="28">
        <f>VLOOKUP($B$6:$B$17,'REPORT -SENBAGAM MESS'!$B$5:$N$16,7,0)</f>
        <v>2.3053181386514718</v>
      </c>
      <c r="AI16" s="28">
        <f>VLOOKUP($B$6:$B$17,'REPORT -SENBAGAM MESS'!$B$5:$N$16,8,0)</f>
        <v>44180</v>
      </c>
      <c r="AJ16" s="28">
        <f>VLOOKUP($B$6:$B$17,'REPORT -SENBAGAM MESS'!$B$5:$N$16,9,0)</f>
        <v>0</v>
      </c>
      <c r="AK16" s="28" t="str">
        <f>VLOOKUP($B$6:$B$17,'REPORT -SENBAGAM MESS'!$B$5:$N$16,10,0)</f>
        <v>0</v>
      </c>
      <c r="AL16" s="28">
        <f>VLOOKUP($B$6:$B$17,'REPORT -SENBAGAM MESS'!$B$5:$N$16,11,0)</f>
        <v>44180</v>
      </c>
      <c r="AM16" s="28">
        <f>VLOOKUP($B$6:$B$17,'REPORT -SENBAGAM MESS'!$B$5:$N$16,12,0)</f>
        <v>1156</v>
      </c>
      <c r="AN16" s="28">
        <f>VLOOKUP($B$6:$B$17,'REPORT -SENBAGAM MESS'!$B$5:$N$16,13,0)</f>
        <v>2.6165685830692622</v>
      </c>
      <c r="AO16" s="29">
        <f t="shared" si="2"/>
        <v>4.8104745149605224</v>
      </c>
      <c r="AP16" s="28">
        <f>VLOOKUP($B$6:$B$17,'REPORT -J MESS'!$B$6:$N$17,2,0)</f>
        <v>27498</v>
      </c>
      <c r="AQ16" s="28">
        <f>VLOOKUP($B$6:$B$17,'REPORT -J MESS'!$B$6:$N$17,3,0)</f>
        <v>781</v>
      </c>
      <c r="AR16" s="28">
        <f>VLOOKUP($B$6:$B$17,'REPORT -J MESS'!$B$6:$N$17,4,0)</f>
        <v>2.8402065604771254</v>
      </c>
      <c r="AS16" s="28">
        <f>VLOOKUP($B$6:$B$17,'REPORT -J MESS'!$B$6:$N$17,5,0)</f>
        <v>47297</v>
      </c>
      <c r="AT16" s="28">
        <f>VLOOKUP($B$6:$B$17,'REPORT -J MESS'!$B$6:$N$17,6,0)</f>
        <v>890</v>
      </c>
      <c r="AU16" s="28">
        <f>VLOOKUP($B$6:$B$17,'REPORT -J MESS'!$B$6:$N$17,7,0)</f>
        <v>1.8817261137070003</v>
      </c>
      <c r="AV16" s="28">
        <f>VLOOKUP($B$6:$B$17,'REPORT -J MESS'!$B$6:$N$17,8,0)</f>
        <v>54188</v>
      </c>
      <c r="AW16" s="28">
        <f>VLOOKUP($B$6:$B$17,'REPORT -J MESS'!$B$6:$N$17,9,0)</f>
        <v>0</v>
      </c>
      <c r="AX16" s="28" t="str">
        <f>VLOOKUP($B$6:$B$17,'REPORT -J MESS'!$B$6:$N$17,10,0)</f>
        <v>0</v>
      </c>
      <c r="AY16" s="28">
        <f>VLOOKUP($B$6:$B$17,'REPORT -J MESS'!$B$6:$N$17,11,0)</f>
        <v>54188</v>
      </c>
      <c r="AZ16" s="28">
        <f>VLOOKUP($B$6:$B$17,'REPORT -J MESS'!$B$6:$N$17,12,0)</f>
        <v>1009</v>
      </c>
      <c r="BA16" s="28">
        <f>VLOOKUP($B$6:$B$17,'REPORT -J MESS'!$B$6:$N$17,13,0)</f>
        <v>1.8620358751014987</v>
      </c>
      <c r="BB16" s="29">
        <f t="shared" si="3"/>
        <v>5.1874416429595005</v>
      </c>
      <c r="BC16" s="28">
        <f>VLOOKUP($B$6:$B$17,'REPORT -MEENAKSHI MESS'!$B$5:$N$16,2,0)</f>
        <v>8028</v>
      </c>
      <c r="BD16" s="28">
        <f>VLOOKUP($B$6:$B$17,'REPORT -MEENAKSHI MESS'!$B$5:$N$16,3,0)</f>
        <v>167</v>
      </c>
      <c r="BE16" s="28">
        <f>VLOOKUP($B$6:$B$17,'REPORT -MEENAKSHI MESS'!$B$5:$N$16,4,0)</f>
        <v>2.0802192326856006</v>
      </c>
      <c r="BF16" s="28">
        <f>VLOOKUP($B$6:$B$17,'REPORT -MEENAKSHI MESS'!$B$5:$N$16,5,0)</f>
        <v>11052</v>
      </c>
      <c r="BG16" s="28">
        <f>VLOOKUP($B$6:$B$17,'REPORT -MEENAKSHI MESS'!$B$5:$N$16,6,0)</f>
        <v>444</v>
      </c>
      <c r="BH16" s="28">
        <f>VLOOKUP($B$6:$B$17,'REPORT -MEENAKSHI MESS'!$B$5:$N$16,7,0)</f>
        <v>4.0173724212812161</v>
      </c>
      <c r="BI16" s="28">
        <f>VLOOKUP($B$6:$B$17,'REPORT -MEENAKSHI MESS'!$B$5:$N$16,8,0)</f>
        <v>11849</v>
      </c>
      <c r="BJ16" s="28">
        <f>VLOOKUP($B$6:$B$17,'REPORT -MEENAKSHI MESS'!$B$5:$N$16,9,0)</f>
        <v>0</v>
      </c>
      <c r="BK16" s="28" t="str">
        <f>VLOOKUP($B$6:$B$17,'REPORT -MEENAKSHI MESS'!$B$5:$N$16,10,0)</f>
        <v>0</v>
      </c>
      <c r="BL16" s="28">
        <f>VLOOKUP($B$6:$B$17,'REPORT -MEENAKSHI MESS'!$B$5:$N$16,11,0)</f>
        <v>11879</v>
      </c>
      <c r="BM16" s="28">
        <f>VLOOKUP($B$6:$B$17,'REPORT -MEENAKSHI MESS'!$B$5:$N$16,12,0)</f>
        <v>491</v>
      </c>
      <c r="BN16" s="28">
        <f>VLOOKUP($B$6:$B$17,'REPORT -MEENAKSHI MESS'!$B$5:$N$16,13,0)</f>
        <v>4.1333445576226957</v>
      </c>
      <c r="BO16" s="29">
        <f t="shared" si="4"/>
        <v>2.557734052897378</v>
      </c>
      <c r="BP16" s="28">
        <f>VLOOKUP($B$6:$B$17,'REPORT -STAFF MESS'!$B$5:$N$16,2,0)</f>
        <v>20814</v>
      </c>
      <c r="BQ16" s="28">
        <f>VLOOKUP($B$6:$B$17,'REPORT -STAFF MESS'!$B$5:$N$16,3,0)</f>
        <v>702</v>
      </c>
      <c r="BR16" s="28">
        <f>VLOOKUP($B$6:$B$17,'REPORT -STAFF MESS'!$B$5:$N$16,4,0)</f>
        <v>3.3727298933410208</v>
      </c>
      <c r="BS16" s="28">
        <f>VLOOKUP($B$6:$B$17,'REPORT -STAFF MESS'!$B$5:$N$16,5,0)</f>
        <v>21988</v>
      </c>
      <c r="BT16" s="28">
        <f>VLOOKUP($B$6:$B$17,'REPORT -STAFF MESS'!$B$5:$N$16,6,0)</f>
        <v>1233</v>
      </c>
      <c r="BU16" s="28">
        <f>VLOOKUP($B$6:$B$17,'REPORT -STAFF MESS'!$B$5:$N$16,7,0)</f>
        <v>5.6076041477169367</v>
      </c>
      <c r="BV16" s="28">
        <f>VLOOKUP($B$6:$B$17,'REPORT -STAFF MESS'!$B$5:$N$16,8,0)</f>
        <v>6774</v>
      </c>
      <c r="BW16" s="28">
        <f>VLOOKUP($B$6:$B$17,'REPORT -STAFF MESS'!$B$5:$N$16,9,0)</f>
        <v>0</v>
      </c>
      <c r="BX16" s="28" t="str">
        <f>VLOOKUP($B$6:$B$17,'REPORT -STAFF MESS'!$B$5:$N$16,10,0)</f>
        <v>0</v>
      </c>
      <c r="BY16" s="28">
        <f>VLOOKUP($B$6:$B$17,'REPORT -STAFF MESS'!$B$5:$N$16,11,0)</f>
        <v>6777</v>
      </c>
      <c r="BZ16" s="28">
        <f>VLOOKUP($B$6:$B$17,'REPORT -STAFF MESS'!$B$5:$N$16,12,0)</f>
        <v>470</v>
      </c>
      <c r="CA16" s="28">
        <f>VLOOKUP($B$6:$B$17,'REPORT -STAFF MESS'!$B$5:$N$16,13,0)</f>
        <v>6.9352220746643063</v>
      </c>
      <c r="CB16" s="35">
        <f t="shared" si="5"/>
        <v>3.9788890289305661</v>
      </c>
      <c r="CD16" s="24"/>
      <c r="CH16" s="24"/>
    </row>
    <row r="17" spans="1:86" x14ac:dyDescent="0.3">
      <c r="A17" s="26">
        <v>12</v>
      </c>
      <c r="B17" s="25" t="s">
        <v>27</v>
      </c>
      <c r="C17" s="28">
        <f>VLOOKUP($B$6:$B$17,'REPORT - SANNASI MESS'!$B$5:$N$16,2,0)</f>
        <v>51533</v>
      </c>
      <c r="D17" s="28">
        <f>VLOOKUP($B$6:$B$17,'REPORT - SANNASI MESS'!$B$5:$N$16,3,0)</f>
        <v>876</v>
      </c>
      <c r="E17" s="28">
        <f>VLOOKUP($B$6:$B$17,'REPORT - SANNASI MESS'!$B$5:$N$16,4,0)</f>
        <v>1.6998816292472785</v>
      </c>
      <c r="F17" s="28">
        <f>VLOOKUP($B$6:$B$17,'REPORT - SANNASI MESS'!$B$5:$N$16,5,0)</f>
        <v>162869</v>
      </c>
      <c r="G17" s="28">
        <f>VLOOKUP($B$6:$B$17,'REPORT - SANNASI MESS'!$B$5:$N$16,6,0)</f>
        <v>4498</v>
      </c>
      <c r="H17" s="28">
        <f>VLOOKUP($B$6:$B$17,'REPORT - SANNASI MESS'!$B$5:$N$16,7,0)</f>
        <v>2.7617287513277544</v>
      </c>
      <c r="I17" s="28">
        <f>VLOOKUP($B$6:$B$17,'REPORT - SANNASI MESS'!$B$5:$N$16,8,0)</f>
        <v>171597</v>
      </c>
      <c r="J17" s="28">
        <f>VLOOKUP($B$6:$B$17,'REPORT - SANNASI MESS'!$B$5:$N$16,9,0)</f>
        <v>0</v>
      </c>
      <c r="K17" s="28" t="str">
        <f>VLOOKUP($B$6:$B$17,'REPORT - SANNASI MESS'!$B$5:$N$16,10,0)</f>
        <v>0</v>
      </c>
      <c r="L17" s="28">
        <f>VLOOKUP($B$6:$B$17,'REPORT - SANNASI MESS'!$B$5:$N$16,11,0)</f>
        <v>171598</v>
      </c>
      <c r="M17" s="28">
        <f>VLOOKUP($B$6:$B$17,'REPORT - SANNASI MESS'!$B$5:$N$16,12,0)</f>
        <v>5796</v>
      </c>
      <c r="N17" s="28">
        <f>VLOOKUP($B$6:$B$17,'REPORT - SANNASI MESS'!$B$5:$N$16,13,0)</f>
        <v>3.3776617443093744</v>
      </c>
      <c r="O17" s="29">
        <f t="shared" si="0"/>
        <v>1.959818031221102</v>
      </c>
      <c r="P17" s="28">
        <f>VLOOKUP($B$6:$B$17,'REPORT -D-MESS'!$B$5:$N$16,2,0)</f>
        <v>21414</v>
      </c>
      <c r="Q17" s="28">
        <f>VLOOKUP($B$6:$B$17,'REPORT -D-MESS'!$B$5:$N$16,3,0)</f>
        <v>1013</v>
      </c>
      <c r="R17" s="28">
        <f>VLOOKUP($B$6:$B$17,'REPORT -D-MESS'!$B$5:$N$16,4,0)</f>
        <v>4.7305501074063701</v>
      </c>
      <c r="S17" s="28">
        <f>VLOOKUP($B$6:$B$17,'REPORT -D-MESS'!$B$5:$N$16,5,0)</f>
        <v>49248</v>
      </c>
      <c r="T17" s="28">
        <f>VLOOKUP($B$6:$B$17,'REPORT -D-MESS'!$B$5:$N$16,6,0)</f>
        <v>1720</v>
      </c>
      <c r="U17" s="28">
        <f>VLOOKUP($B$6:$B$17,'REPORT -D-MESS'!$B$5:$N$16,7,0)</f>
        <v>3.4925276153346325</v>
      </c>
      <c r="V17" s="28">
        <f>VLOOKUP($B$6:$B$17,'REPORT -D-MESS'!$B$5:$N$16,8,0)</f>
        <v>47967</v>
      </c>
      <c r="W17" s="28">
        <f>VLOOKUP($B$6:$B$17,'REPORT -D-MESS'!$B$5:$N$16,9,0)</f>
        <v>0</v>
      </c>
      <c r="X17" s="28" t="str">
        <f>VLOOKUP($B$6:$B$17,'REPORT -D-MESS'!$B$5:$N$16,10,0)</f>
        <v>0</v>
      </c>
      <c r="Y17" s="28">
        <f>VLOOKUP($B$6:$B$17,'REPORT -D-MESS'!$B$5:$N$16,11,0)</f>
        <v>47967</v>
      </c>
      <c r="Z17" s="28">
        <f>VLOOKUP($B$6:$B$17,'REPORT -D-MESS'!$B$5:$N$16,12,0)</f>
        <v>2248</v>
      </c>
      <c r="AA17" s="28">
        <f>VLOOKUP($B$6:$B$17,'REPORT -D-MESS'!$B$5:$N$16,13,0)</f>
        <v>4.6865553401296722</v>
      </c>
      <c r="AB17" s="29">
        <f t="shared" si="1"/>
        <v>3.2274082657176688</v>
      </c>
      <c r="AC17" s="28">
        <f>VLOOKUP($B$6:$B$17,'REPORT -SENBAGAM MESS'!$B$5:$N$16,2,0)</f>
        <v>28770</v>
      </c>
      <c r="AD17" s="28">
        <f>VLOOKUP($B$6:$B$17,'REPORT -SENBAGAM MESS'!$B$5:$N$16,3,0)</f>
        <v>596</v>
      </c>
      <c r="AE17" s="28">
        <f>VLOOKUP($B$6:$B$17,'REPORT -SENBAGAM MESS'!$B$5:$N$16,4,0)</f>
        <v>2.0716023635731666</v>
      </c>
      <c r="AF17" s="28">
        <f>VLOOKUP($B$6:$B$17,'REPORT -SENBAGAM MESS'!$B$5:$N$16,5,0)</f>
        <v>45250</v>
      </c>
      <c r="AG17" s="28">
        <f>VLOOKUP($B$6:$B$17,'REPORT -SENBAGAM MESS'!$B$5:$N$16,6,0)</f>
        <v>1096</v>
      </c>
      <c r="AH17" s="28">
        <f>VLOOKUP($B$6:$B$17,'REPORT -SENBAGAM MESS'!$B$5:$N$16,7,0)</f>
        <v>2.4220994475138125</v>
      </c>
      <c r="AI17" s="28">
        <f>VLOOKUP($B$6:$B$17,'REPORT -SENBAGAM MESS'!$B$5:$N$16,8,0)</f>
        <v>46430</v>
      </c>
      <c r="AJ17" s="28">
        <f>VLOOKUP($B$6:$B$17,'REPORT -SENBAGAM MESS'!$B$5:$N$16,9,0)</f>
        <v>0</v>
      </c>
      <c r="AK17" s="28" t="str">
        <f>VLOOKUP($B$6:$B$17,'REPORT -SENBAGAM MESS'!$B$5:$N$16,10,0)</f>
        <v>0</v>
      </c>
      <c r="AL17" s="28">
        <f>VLOOKUP($B$6:$B$17,'REPORT -SENBAGAM MESS'!$B$5:$N$16,11,0)</f>
        <v>46430</v>
      </c>
      <c r="AM17" s="28">
        <f>VLOOKUP($B$6:$B$17,'REPORT -SENBAGAM MESS'!$B$5:$N$16,12,0)</f>
        <v>1246</v>
      </c>
      <c r="AN17" s="28">
        <f>VLOOKUP($B$6:$B$17,'REPORT -SENBAGAM MESS'!$B$5:$N$16,13,0)</f>
        <v>2.6836097350850743</v>
      </c>
      <c r="AO17" s="29">
        <f t="shared" si="2"/>
        <v>5.1646042448582472</v>
      </c>
      <c r="AP17" s="28">
        <f>VLOOKUP($B$6:$B$17,'REPORT -J MESS'!$B$6:$N$17,2,0)</f>
        <v>27497</v>
      </c>
      <c r="AQ17" s="28">
        <f>VLOOKUP($B$6:$B$17,'REPORT -J MESS'!$B$6:$N$17,3,0)</f>
        <v>898</v>
      </c>
      <c r="AR17" s="28">
        <f>VLOOKUP($B$6:$B$17,'REPORT -J MESS'!$B$6:$N$17,4,0)</f>
        <v>3.2658108157253523</v>
      </c>
      <c r="AS17" s="28">
        <f>VLOOKUP($B$6:$B$17,'REPORT -J MESS'!$B$6:$N$17,5,0)</f>
        <v>48611</v>
      </c>
      <c r="AT17" s="28">
        <f>VLOOKUP($B$6:$B$17,'REPORT -J MESS'!$B$6:$N$17,6,0)</f>
        <v>1066</v>
      </c>
      <c r="AU17" s="28">
        <f>VLOOKUP($B$6:$B$17,'REPORT -J MESS'!$B$6:$N$17,7,0)</f>
        <v>2.1929192981012529</v>
      </c>
      <c r="AV17" s="28">
        <f>VLOOKUP($B$6:$B$17,'REPORT -J MESS'!$B$6:$N$17,8,0)</f>
        <v>55935</v>
      </c>
      <c r="AW17" s="28">
        <f>VLOOKUP($B$6:$B$17,'REPORT -J MESS'!$B$6:$N$17,9,0)</f>
        <v>0</v>
      </c>
      <c r="AX17" s="28" t="str">
        <f>VLOOKUP($B$6:$B$17,'REPORT -J MESS'!$B$6:$N$17,10,0)</f>
        <v>0</v>
      </c>
      <c r="AY17" s="28">
        <f>VLOOKUP($B$6:$B$17,'REPORT -J MESS'!$B$6:$N$17,11,0)</f>
        <v>55805</v>
      </c>
      <c r="AZ17" s="28">
        <f>VLOOKUP($B$6:$B$17,'REPORT -J MESS'!$B$6:$N$17,12,0)</f>
        <v>1231</v>
      </c>
      <c r="BA17" s="28">
        <f>VLOOKUP($B$6:$B$17,'REPORT -J MESS'!$B$6:$N$17,13,0)</f>
        <v>2.2058955290744557</v>
      </c>
      <c r="BB17" s="29">
        <f t="shared" si="3"/>
        <v>6.0102039960952194</v>
      </c>
      <c r="BC17" s="28">
        <f>VLOOKUP($B$6:$B$17,'REPORT -MEENAKSHI MESS'!$B$5:$N$16,2,0)</f>
        <v>8205</v>
      </c>
      <c r="BD17" s="28">
        <f>VLOOKUP($B$6:$B$17,'REPORT -MEENAKSHI MESS'!$B$5:$N$16,3,0)</f>
        <v>133</v>
      </c>
      <c r="BE17" s="28">
        <f>VLOOKUP($B$6:$B$17,'REPORT -MEENAKSHI MESS'!$B$5:$N$16,4,0)</f>
        <v>1.6209628275441805</v>
      </c>
      <c r="BF17" s="28">
        <f>VLOOKUP($B$6:$B$17,'REPORT -MEENAKSHI MESS'!$B$5:$N$16,5,0)</f>
        <v>11050</v>
      </c>
      <c r="BG17" s="28">
        <f>VLOOKUP($B$6:$B$17,'REPORT -MEENAKSHI MESS'!$B$5:$N$16,6,0)</f>
        <v>541</v>
      </c>
      <c r="BH17" s="28">
        <f>VLOOKUP($B$6:$B$17,'REPORT -MEENAKSHI MESS'!$B$5:$N$16,7,0)</f>
        <v>4.8959276018099542</v>
      </c>
      <c r="BI17" s="28">
        <f>VLOOKUP($B$6:$B$17,'REPORT -MEENAKSHI MESS'!$B$5:$N$16,8,0)</f>
        <v>11915</v>
      </c>
      <c r="BJ17" s="28">
        <f>VLOOKUP($B$6:$B$17,'REPORT -MEENAKSHI MESS'!$B$5:$N$16,9,0)</f>
        <v>0</v>
      </c>
      <c r="BK17" s="28" t="str">
        <f>VLOOKUP($B$6:$B$17,'REPORT -MEENAKSHI MESS'!$B$5:$N$16,10,0)</f>
        <v>0</v>
      </c>
      <c r="BL17" s="28">
        <f>VLOOKUP($B$6:$B$17,'REPORT -MEENAKSHI MESS'!$B$5:$N$16,11,0)</f>
        <v>11915</v>
      </c>
      <c r="BM17" s="28">
        <f>VLOOKUP($B$6:$B$17,'REPORT -MEENAKSHI MESS'!$B$5:$N$16,12,0)</f>
        <v>638</v>
      </c>
      <c r="BN17" s="28">
        <f>VLOOKUP($B$6:$B$17,'REPORT -MEENAKSHI MESS'!$B$5:$N$16,13,0)</f>
        <v>5.3545950482584974</v>
      </c>
      <c r="BO17" s="29">
        <f t="shared" si="4"/>
        <v>2.967871369403158</v>
      </c>
      <c r="BP17" s="28">
        <f>VLOOKUP($B$6:$B$17,'REPORT -STAFF MESS'!$B$5:$N$16,2,0)</f>
        <v>21427</v>
      </c>
      <c r="BQ17" s="28">
        <f>VLOOKUP($B$6:$B$17,'REPORT -STAFF MESS'!$B$5:$N$16,3,0)</f>
        <v>691</v>
      </c>
      <c r="BR17" s="28">
        <f>VLOOKUP($B$6:$B$17,'REPORT -STAFF MESS'!$B$5:$N$16,4,0)</f>
        <v>3.2249031595650344</v>
      </c>
      <c r="BS17" s="28">
        <f>VLOOKUP($B$6:$B$17,'REPORT -STAFF MESS'!$B$5:$N$16,5,0)</f>
        <v>22148</v>
      </c>
      <c r="BT17" s="28">
        <f>VLOOKUP($B$6:$B$17,'REPORT -STAFF MESS'!$B$5:$N$16,6,0)</f>
        <v>1225</v>
      </c>
      <c r="BU17" s="28">
        <f>VLOOKUP($B$6:$B$17,'REPORT -STAFF MESS'!$B$5:$N$16,7,0)</f>
        <v>5.5309734513274336</v>
      </c>
      <c r="BV17" s="28">
        <f>VLOOKUP($B$6:$B$17,'REPORT -STAFF MESS'!$B$5:$N$16,8,0)</f>
        <v>7053</v>
      </c>
      <c r="BW17" s="28">
        <f>VLOOKUP($B$6:$B$17,'REPORT -STAFF MESS'!$B$5:$N$16,9,0)</f>
        <v>0</v>
      </c>
      <c r="BX17" s="28" t="str">
        <f>VLOOKUP($B$6:$B$17,'REPORT -STAFF MESS'!$B$5:$N$16,10,0)</f>
        <v>0</v>
      </c>
      <c r="BY17" s="28">
        <f>VLOOKUP($B$6:$B$17,'REPORT -STAFF MESS'!$B$5:$N$16,11,0)</f>
        <v>7053</v>
      </c>
      <c r="BZ17" s="28">
        <f>VLOOKUP($B$6:$B$17,'REPORT -STAFF MESS'!$B$5:$N$16,12,0)</f>
        <v>473</v>
      </c>
      <c r="CA17" s="28">
        <f>VLOOKUP($B$6:$B$17,'REPORT -STAFF MESS'!$B$5:$N$16,13,0)</f>
        <v>6.7063660853537499</v>
      </c>
      <c r="CB17" s="35">
        <f t="shared" si="5"/>
        <v>3.8655606740615545</v>
      </c>
      <c r="CD17" s="24"/>
      <c r="CH17" s="24"/>
    </row>
    <row r="19" spans="1:86" x14ac:dyDescent="0.3">
      <c r="B19" s="53" t="s">
        <v>17</v>
      </c>
      <c r="C19" s="53"/>
      <c r="D19" s="53"/>
      <c r="E19" s="53"/>
      <c r="F19" s="53"/>
      <c r="G19" s="53"/>
      <c r="H19" s="53"/>
      <c r="I19" s="53"/>
      <c r="M19" s="24"/>
      <c r="P19" s="23"/>
    </row>
    <row r="20" spans="1:86" x14ac:dyDescent="0.3">
      <c r="B20" s="53" t="s">
        <v>41</v>
      </c>
      <c r="C20" s="53"/>
      <c r="D20" s="53"/>
      <c r="E20" s="53"/>
      <c r="F20" s="53"/>
      <c r="G20" s="53"/>
      <c r="H20" s="53"/>
      <c r="I20" s="53"/>
      <c r="M20" s="24"/>
      <c r="P20" s="23"/>
    </row>
    <row r="21" spans="1:86" ht="108.6" x14ac:dyDescent="0.3">
      <c r="B21" s="34" t="s">
        <v>0</v>
      </c>
      <c r="C21" s="31" t="s">
        <v>71</v>
      </c>
      <c r="D21" s="31" t="s">
        <v>19</v>
      </c>
      <c r="E21" s="31" t="s">
        <v>20</v>
      </c>
      <c r="F21" s="31" t="s">
        <v>21</v>
      </c>
      <c r="G21" s="31" t="s">
        <v>22</v>
      </c>
      <c r="H21" s="31" t="s">
        <v>23</v>
      </c>
      <c r="I21" s="31" t="s">
        <v>24</v>
      </c>
      <c r="M21" s="24"/>
      <c r="P21" s="23"/>
    </row>
    <row r="22" spans="1:86" x14ac:dyDescent="0.3">
      <c r="B22" s="25" t="s">
        <v>5</v>
      </c>
      <c r="C22" s="27">
        <f t="shared" ref="C22:C33" si="6">VLOOKUP($B$22:$B$33,$B$6:$CB$17,14,0)</f>
        <v>5.0273006461202172</v>
      </c>
      <c r="D22" s="27">
        <f t="shared" ref="D22:D33" si="7">VLOOKUP($B$22:$B$33,$B$6:$CB$17,27,0)</f>
        <v>6.0742276888729378</v>
      </c>
      <c r="E22" s="27">
        <f t="shared" ref="E22:E33" si="8">VLOOKUP($B$22:$B$33,$B$6:$CB$17,40,0)</f>
        <v>16.881314815665544</v>
      </c>
      <c r="F22" s="27">
        <f t="shared" ref="F22:F33" si="9">VLOOKUP($B$22:$B$33,$B$6:$CB$17,53,0)</f>
        <v>14.477708741045802</v>
      </c>
      <c r="G22" s="27">
        <f t="shared" ref="G22:G33" si="10">VLOOKUP($B$22:$B$33,$B$6:$CB$17,66,0)</f>
        <v>3.2621482893078184</v>
      </c>
      <c r="H22" s="27">
        <f t="shared" ref="H22:H33" si="11">VLOOKUP($B$22:$B$33,$B$6:$CB$17,79,0)</f>
        <v>5.42348807466779</v>
      </c>
      <c r="I22" s="35">
        <f>SUM(C22:H22)/6</f>
        <v>8.5243647092800163</v>
      </c>
      <c r="M22" s="24"/>
      <c r="P22" s="23"/>
    </row>
    <row r="23" spans="1:86" x14ac:dyDescent="0.3">
      <c r="B23" s="25" t="s">
        <v>6</v>
      </c>
      <c r="C23" s="27">
        <f t="shared" si="6"/>
        <v>5.7392760551966004</v>
      </c>
      <c r="D23" s="27">
        <f t="shared" si="7"/>
        <v>6.4849550827047757</v>
      </c>
      <c r="E23" s="27">
        <f t="shared" si="8"/>
        <v>14.597718418789865</v>
      </c>
      <c r="F23" s="27">
        <f t="shared" si="9"/>
        <v>14.726118151464906</v>
      </c>
      <c r="G23" s="27">
        <f t="shared" si="10"/>
        <v>3.3348700758822689</v>
      </c>
      <c r="H23" s="27">
        <f t="shared" si="11"/>
        <v>4.5443002709854179</v>
      </c>
      <c r="I23" s="35">
        <f t="shared" ref="I23:I33" si="12">SUM(C23:H23)/6</f>
        <v>8.2378730091706398</v>
      </c>
      <c r="M23" s="24"/>
      <c r="P23" s="23"/>
    </row>
    <row r="24" spans="1:86" x14ac:dyDescent="0.3">
      <c r="B24" s="25" t="s">
        <v>7</v>
      </c>
      <c r="C24" s="27">
        <f t="shared" si="6"/>
        <v>9.1241929557725818</v>
      </c>
      <c r="D24" s="27">
        <f t="shared" si="7"/>
        <v>0.72890749955571366</v>
      </c>
      <c r="E24" s="27">
        <f t="shared" si="8"/>
        <v>15.767776984043676</v>
      </c>
      <c r="F24" s="27">
        <f t="shared" si="9"/>
        <v>12.885291874738629</v>
      </c>
      <c r="G24" s="27">
        <f t="shared" si="10"/>
        <v>6.0927756063659366</v>
      </c>
      <c r="H24" s="27">
        <f t="shared" si="11"/>
        <v>4.4211190974085</v>
      </c>
      <c r="I24" s="35">
        <f t="shared" si="12"/>
        <v>8.1700106696475068</v>
      </c>
      <c r="M24" s="24"/>
      <c r="P24" s="23"/>
    </row>
    <row r="25" spans="1:86" x14ac:dyDescent="0.3">
      <c r="B25" s="25" t="s">
        <v>8</v>
      </c>
      <c r="C25" s="27">
        <f t="shared" si="6"/>
        <v>11.975223446077933</v>
      </c>
      <c r="D25" s="27">
        <f t="shared" si="7"/>
        <v>3.5291565760445254</v>
      </c>
      <c r="E25" s="27">
        <f t="shared" si="8"/>
        <v>9.8994130117856933</v>
      </c>
      <c r="F25" s="27">
        <f t="shared" si="9"/>
        <v>12.965779168750826</v>
      </c>
      <c r="G25" s="27">
        <f t="shared" si="10"/>
        <v>8.4156902849818422</v>
      </c>
      <c r="H25" s="27">
        <f t="shared" si="11"/>
        <v>3.7182135968412435</v>
      </c>
      <c r="I25" s="35">
        <f t="shared" si="12"/>
        <v>8.4172460140803445</v>
      </c>
      <c r="M25" s="24"/>
      <c r="P25" s="23"/>
    </row>
    <row r="26" spans="1:86" x14ac:dyDescent="0.3">
      <c r="B26" s="25" t="s">
        <v>9</v>
      </c>
      <c r="C26" s="27">
        <f t="shared" si="6"/>
        <v>2.0491156484982485</v>
      </c>
      <c r="D26" s="27">
        <f t="shared" si="7"/>
        <v>4.1670829634321871</v>
      </c>
      <c r="E26" s="27">
        <f t="shared" si="8"/>
        <v>7.7103181476271878</v>
      </c>
      <c r="F26" s="27">
        <f t="shared" si="9"/>
        <v>7.5581433439308894</v>
      </c>
      <c r="G26" s="27">
        <f t="shared" si="10"/>
        <v>1.7160178217589004</v>
      </c>
      <c r="H26" s="27">
        <f t="shared" si="11"/>
        <v>3.6338410700108028</v>
      </c>
      <c r="I26" s="35">
        <f t="shared" si="12"/>
        <v>4.4724198325430358</v>
      </c>
    </row>
    <row r="27" spans="1:86" x14ac:dyDescent="0.3">
      <c r="B27" s="25" t="s">
        <v>10</v>
      </c>
      <c r="C27" s="27">
        <f t="shared" si="6"/>
        <v>1.9368120987408437</v>
      </c>
      <c r="D27" s="27">
        <f t="shared" si="7"/>
        <v>6.0476145527837391</v>
      </c>
      <c r="E27" s="27">
        <f t="shared" si="8"/>
        <v>7.3758891856981137</v>
      </c>
      <c r="F27" s="27">
        <f t="shared" si="9"/>
        <v>7.2848954125551373</v>
      </c>
      <c r="G27" s="27">
        <f t="shared" si="10"/>
        <v>1.7928576975345809</v>
      </c>
      <c r="H27" s="27">
        <f t="shared" si="11"/>
        <v>3.327004381076375</v>
      </c>
      <c r="I27" s="35">
        <f t="shared" si="12"/>
        <v>4.6275122213981321</v>
      </c>
    </row>
    <row r="28" spans="1:86" x14ac:dyDescent="0.3">
      <c r="B28" s="25" t="s">
        <v>11</v>
      </c>
      <c r="C28" s="27">
        <f t="shared" si="6"/>
        <v>1.9902792831333542</v>
      </c>
      <c r="D28" s="27">
        <f t="shared" si="7"/>
        <v>5.8023001761000241</v>
      </c>
      <c r="E28" s="27">
        <f t="shared" si="8"/>
        <v>7.1368280420741517</v>
      </c>
      <c r="F28" s="27">
        <f t="shared" si="9"/>
        <v>5.2142759861684871</v>
      </c>
      <c r="G28" s="27">
        <f t="shared" si="10"/>
        <v>1.6904473545888365</v>
      </c>
      <c r="H28" s="27">
        <f t="shared" si="11"/>
        <v>3.5968525774178293</v>
      </c>
      <c r="I28" s="35">
        <f t="shared" si="12"/>
        <v>4.2384972365804474</v>
      </c>
    </row>
    <row r="29" spans="1:86" x14ac:dyDescent="0.3">
      <c r="B29" s="25" t="s">
        <v>12</v>
      </c>
      <c r="C29" s="27">
        <f t="shared" si="6"/>
        <v>2.0246664088651265</v>
      </c>
      <c r="D29" s="27">
        <f t="shared" si="7"/>
        <v>6.496138709036515</v>
      </c>
      <c r="E29" s="27">
        <f t="shared" si="8"/>
        <v>6.400449142314649</v>
      </c>
      <c r="F29" s="27">
        <f t="shared" si="9"/>
        <v>5.3919075225022741</v>
      </c>
      <c r="G29" s="27">
        <f t="shared" si="10"/>
        <v>2.3104631367350574</v>
      </c>
      <c r="H29" s="27">
        <f t="shared" si="11"/>
        <v>4.2416402014184822</v>
      </c>
      <c r="I29" s="35">
        <f t="shared" si="12"/>
        <v>4.4775441868120183</v>
      </c>
    </row>
    <row r="30" spans="1:86" x14ac:dyDescent="0.3">
      <c r="B30" s="25" t="s">
        <v>13</v>
      </c>
      <c r="C30" s="27">
        <f t="shared" si="6"/>
        <v>2.7795828311862287</v>
      </c>
      <c r="D30" s="27">
        <f t="shared" si="7"/>
        <v>3.603876250624916</v>
      </c>
      <c r="E30" s="27">
        <f t="shared" si="8"/>
        <v>6.7128556604283993</v>
      </c>
      <c r="F30" s="27">
        <f t="shared" si="9"/>
        <v>7.0369044150108735</v>
      </c>
      <c r="G30" s="27">
        <f t="shared" si="10"/>
        <v>2.5137678785652646</v>
      </c>
      <c r="H30" s="27">
        <f t="shared" si="11"/>
        <v>4.2653248340650736</v>
      </c>
      <c r="I30" s="35">
        <f t="shared" si="12"/>
        <v>4.4853853116467919</v>
      </c>
    </row>
    <row r="31" spans="1:86" x14ac:dyDescent="0.3">
      <c r="B31" s="25" t="s">
        <v>14</v>
      </c>
      <c r="C31" s="27">
        <f t="shared" si="6"/>
        <v>2.1607122327663757</v>
      </c>
      <c r="D31" s="27">
        <f t="shared" si="7"/>
        <v>0</v>
      </c>
      <c r="E31" s="27">
        <f t="shared" si="8"/>
        <v>3.4349119700116009</v>
      </c>
      <c r="F31" s="27">
        <f t="shared" si="9"/>
        <v>3.102006675697488</v>
      </c>
      <c r="G31" s="27">
        <f t="shared" si="10"/>
        <v>2.0376378303909557</v>
      </c>
      <c r="H31" s="27">
        <f t="shared" si="11"/>
        <v>3.9602002560168748</v>
      </c>
      <c r="I31" s="35">
        <f t="shared" si="12"/>
        <v>2.4492448274805496</v>
      </c>
    </row>
    <row r="32" spans="1:86" x14ac:dyDescent="0.3">
      <c r="B32" s="25" t="s">
        <v>15</v>
      </c>
      <c r="C32" s="27">
        <f t="shared" si="6"/>
        <v>1.9462746385831338</v>
      </c>
      <c r="D32" s="27">
        <f t="shared" si="7"/>
        <v>2.8577719052927653</v>
      </c>
      <c r="E32" s="27">
        <f t="shared" si="8"/>
        <v>4.8104745149605224</v>
      </c>
      <c r="F32" s="27">
        <f t="shared" si="9"/>
        <v>5.1874416429595005</v>
      </c>
      <c r="G32" s="27">
        <f t="shared" si="10"/>
        <v>2.557734052897378</v>
      </c>
      <c r="H32" s="27">
        <f t="shared" si="11"/>
        <v>3.9788890289305661</v>
      </c>
      <c r="I32" s="35">
        <f t="shared" si="12"/>
        <v>3.5564309639373111</v>
      </c>
    </row>
    <row r="33" spans="1:9" x14ac:dyDescent="0.3">
      <c r="B33" s="25" t="s">
        <v>27</v>
      </c>
      <c r="C33" s="27">
        <f t="shared" si="6"/>
        <v>1.959818031221102</v>
      </c>
      <c r="D33" s="27">
        <f t="shared" si="7"/>
        <v>3.2274082657176688</v>
      </c>
      <c r="E33" s="27">
        <f t="shared" si="8"/>
        <v>5.1646042448582472</v>
      </c>
      <c r="F33" s="27">
        <f t="shared" si="9"/>
        <v>6.0102039960952194</v>
      </c>
      <c r="G33" s="27">
        <f t="shared" si="10"/>
        <v>2.967871369403158</v>
      </c>
      <c r="H33" s="27">
        <f t="shared" si="11"/>
        <v>3.8655606740615545</v>
      </c>
      <c r="I33" s="35">
        <f t="shared" si="12"/>
        <v>3.865911096892825</v>
      </c>
    </row>
    <row r="34" spans="1:9" x14ac:dyDescent="0.3">
      <c r="B34" s="23"/>
      <c r="C34" s="23"/>
      <c r="D34" s="23"/>
      <c r="E34" s="23"/>
      <c r="F34" s="24"/>
      <c r="I34" s="39"/>
    </row>
    <row r="35" spans="1:9" ht="151.80000000000001" x14ac:dyDescent="0.3">
      <c r="A35" s="62" t="s">
        <v>80</v>
      </c>
      <c r="B35" s="62"/>
      <c r="C35" s="36">
        <f>SUM(I22:I33)/12</f>
        <v>5.460203339955803</v>
      </c>
      <c r="F35" s="24"/>
    </row>
    <row r="36" spans="1:9" x14ac:dyDescent="0.3">
      <c r="B36" s="53" t="s">
        <v>17</v>
      </c>
      <c r="C36" s="53"/>
      <c r="D36" s="53"/>
      <c r="E36" s="53"/>
      <c r="F36" s="53"/>
      <c r="G36" s="53"/>
      <c r="H36" s="53"/>
      <c r="I36" s="53"/>
    </row>
    <row r="37" spans="1:9" x14ac:dyDescent="0.3">
      <c r="B37" s="53" t="s">
        <v>78</v>
      </c>
      <c r="C37" s="53"/>
      <c r="D37" s="53"/>
      <c r="E37" s="53"/>
      <c r="F37" s="53"/>
      <c r="G37" s="53"/>
      <c r="H37" s="53"/>
      <c r="I37" s="53"/>
    </row>
    <row r="38" spans="1:9" ht="108.6" x14ac:dyDescent="0.3">
      <c r="B38" s="34" t="s">
        <v>0</v>
      </c>
      <c r="C38" s="31" t="s">
        <v>71</v>
      </c>
      <c r="D38" s="31" t="s">
        <v>19</v>
      </c>
      <c r="E38" s="31" t="s">
        <v>20</v>
      </c>
      <c r="F38" s="31" t="s">
        <v>21</v>
      </c>
      <c r="G38" s="31" t="s">
        <v>22</v>
      </c>
      <c r="H38" s="31" t="s">
        <v>23</v>
      </c>
      <c r="I38" s="31" t="s">
        <v>24</v>
      </c>
    </row>
    <row r="39" spans="1:9" x14ac:dyDescent="0.3">
      <c r="B39" s="25" t="s">
        <v>5</v>
      </c>
      <c r="C39" s="27">
        <f>SUM(C6+F6+I6+L6)</f>
        <v>429700</v>
      </c>
      <c r="D39" s="27">
        <f>SUM(P6+S6+V6+Y6)</f>
        <v>118590</v>
      </c>
      <c r="E39" s="27">
        <f>SUM(AC6+AF6+AI6+AL6)</f>
        <v>92400</v>
      </c>
      <c r="F39" s="27">
        <f>SUM(AP6+AS6+AV6+AY6)</f>
        <v>114967</v>
      </c>
      <c r="G39" s="27">
        <f>SUM(BC6+BF6+BI6+BL6)</f>
        <v>27038</v>
      </c>
      <c r="H39" s="27">
        <f>SUM(BP6+BS6+BV6+BY6)</f>
        <v>44819</v>
      </c>
      <c r="I39" s="27">
        <f>SUM(C39:H39)</f>
        <v>827514</v>
      </c>
    </row>
    <row r="40" spans="1:9" x14ac:dyDescent="0.3">
      <c r="B40" s="25" t="s">
        <v>6</v>
      </c>
      <c r="C40" s="27">
        <f>SUM(C7+F7+I7+L7)</f>
        <v>388984</v>
      </c>
      <c r="D40" s="27">
        <f t="shared" ref="D40:D50" si="13">SUM(P7+S7+V7+Y7)</f>
        <v>118897</v>
      </c>
      <c r="E40" s="27">
        <f t="shared" ref="E40:E50" si="14">SUM(AC7+AF7+AI7+AL7)</f>
        <v>90955</v>
      </c>
      <c r="F40" s="27">
        <f t="shared" ref="F40:F50" si="15">SUM(AP7+AS7+AV7+AY7)</f>
        <v>119846</v>
      </c>
      <c r="G40" s="27">
        <f t="shared" ref="G40:G50" si="16">SUM(BC7+BF7+BI7+BL7)</f>
        <v>26734</v>
      </c>
      <c r="H40" s="27">
        <f t="shared" ref="H40:H50" si="17">SUM(BP7+BS7+BV7+BY7)</f>
        <v>56171</v>
      </c>
      <c r="I40" s="27">
        <f t="shared" ref="I40:I50" si="18">SUM(C40:H40)</f>
        <v>801587</v>
      </c>
    </row>
    <row r="41" spans="1:9" x14ac:dyDescent="0.3">
      <c r="B41" s="25" t="s">
        <v>7</v>
      </c>
      <c r="C41" s="27">
        <f t="shared" ref="C41:C50" si="19">SUM(C8+F8+I8+L8)</f>
        <v>112729</v>
      </c>
      <c r="D41" s="27">
        <f t="shared" si="13"/>
        <v>4695</v>
      </c>
      <c r="E41" s="27">
        <f t="shared" si="14"/>
        <v>42226</v>
      </c>
      <c r="F41" s="27">
        <f t="shared" si="15"/>
        <v>1456</v>
      </c>
      <c r="G41" s="27">
        <f t="shared" si="16"/>
        <v>13001</v>
      </c>
      <c r="H41" s="27">
        <f t="shared" si="17"/>
        <v>66403</v>
      </c>
      <c r="I41" s="27">
        <f t="shared" si="18"/>
        <v>240510</v>
      </c>
    </row>
    <row r="42" spans="1:9" x14ac:dyDescent="0.3">
      <c r="B42" s="25" t="s">
        <v>8</v>
      </c>
      <c r="C42" s="27">
        <f t="shared" si="19"/>
        <v>54400</v>
      </c>
      <c r="D42" s="27">
        <f t="shared" si="13"/>
        <v>74385</v>
      </c>
      <c r="E42" s="27">
        <f t="shared" si="14"/>
        <v>83191</v>
      </c>
      <c r="F42" s="27">
        <f t="shared" si="15"/>
        <v>85093</v>
      </c>
      <c r="G42" s="27">
        <f t="shared" si="16"/>
        <v>4920</v>
      </c>
      <c r="H42" s="27">
        <f t="shared" si="17"/>
        <v>89250</v>
      </c>
      <c r="I42" s="27">
        <f t="shared" si="18"/>
        <v>391239</v>
      </c>
    </row>
    <row r="43" spans="1:9" x14ac:dyDescent="0.3">
      <c r="B43" s="25" t="s">
        <v>9</v>
      </c>
      <c r="C43" s="27">
        <f t="shared" si="19"/>
        <v>544704</v>
      </c>
      <c r="D43" s="27">
        <f t="shared" si="13"/>
        <v>151035</v>
      </c>
      <c r="E43" s="27">
        <f t="shared" si="14"/>
        <v>136865</v>
      </c>
      <c r="F43" s="27">
        <f t="shared" si="15"/>
        <v>163434</v>
      </c>
      <c r="G43" s="27">
        <f t="shared" si="16"/>
        <v>44181</v>
      </c>
      <c r="H43" s="27">
        <f t="shared" si="17"/>
        <v>90138</v>
      </c>
      <c r="I43" s="27">
        <f t="shared" si="18"/>
        <v>1130357</v>
      </c>
    </row>
    <row r="44" spans="1:9" x14ac:dyDescent="0.3">
      <c r="B44" s="25" t="s">
        <v>10</v>
      </c>
      <c r="C44" s="27">
        <f t="shared" si="19"/>
        <v>504920</v>
      </c>
      <c r="D44" s="27">
        <f t="shared" si="13"/>
        <v>147730</v>
      </c>
      <c r="E44" s="27">
        <f t="shared" si="14"/>
        <v>133180</v>
      </c>
      <c r="F44" s="27">
        <f t="shared" si="15"/>
        <v>160250</v>
      </c>
      <c r="G44" s="27">
        <f t="shared" si="16"/>
        <v>47381</v>
      </c>
      <c r="H44" s="27">
        <f t="shared" si="17"/>
        <v>80180</v>
      </c>
      <c r="I44" s="27">
        <f t="shared" si="18"/>
        <v>1073641</v>
      </c>
    </row>
    <row r="45" spans="1:9" x14ac:dyDescent="0.3">
      <c r="B45" s="25" t="s">
        <v>11</v>
      </c>
      <c r="C45" s="27">
        <f t="shared" si="19"/>
        <v>523370</v>
      </c>
      <c r="D45" s="27">
        <f t="shared" si="13"/>
        <v>88791</v>
      </c>
      <c r="E45" s="27">
        <f t="shared" si="14"/>
        <v>147490</v>
      </c>
      <c r="F45" s="27">
        <f t="shared" si="15"/>
        <v>160844</v>
      </c>
      <c r="G45" s="27">
        <f t="shared" si="16"/>
        <v>52446</v>
      </c>
      <c r="H45" s="27">
        <f t="shared" si="17"/>
        <v>76494</v>
      </c>
      <c r="I45" s="27">
        <f t="shared" si="18"/>
        <v>1049435</v>
      </c>
    </row>
    <row r="46" spans="1:9" x14ac:dyDescent="0.3">
      <c r="B46" s="25" t="s">
        <v>12</v>
      </c>
      <c r="C46" s="27">
        <f t="shared" si="19"/>
        <v>548010</v>
      </c>
      <c r="D46" s="27">
        <f t="shared" si="13"/>
        <v>88449</v>
      </c>
      <c r="E46" s="27">
        <f t="shared" si="14"/>
        <v>140350</v>
      </c>
      <c r="F46" s="27">
        <f t="shared" si="15"/>
        <v>161332</v>
      </c>
      <c r="G46" s="27">
        <f t="shared" si="16"/>
        <v>44606</v>
      </c>
      <c r="H46" s="27">
        <f t="shared" si="17"/>
        <v>62113</v>
      </c>
      <c r="I46" s="27">
        <f t="shared" si="18"/>
        <v>1044860</v>
      </c>
    </row>
    <row r="47" spans="1:9" x14ac:dyDescent="0.3">
      <c r="B47" s="25" t="s">
        <v>13</v>
      </c>
      <c r="C47" s="27">
        <f t="shared" si="19"/>
        <v>284603</v>
      </c>
      <c r="D47" s="27">
        <f t="shared" si="13"/>
        <v>35079</v>
      </c>
      <c r="E47" s="27">
        <f t="shared" si="14"/>
        <v>79030</v>
      </c>
      <c r="F47" s="27">
        <f t="shared" si="15"/>
        <v>37626</v>
      </c>
      <c r="G47" s="27">
        <f t="shared" si="16"/>
        <v>26172</v>
      </c>
      <c r="H47" s="27">
        <f t="shared" si="17"/>
        <v>59478</v>
      </c>
      <c r="I47" s="27">
        <f t="shared" si="18"/>
        <v>521988</v>
      </c>
    </row>
    <row r="48" spans="1:9" x14ac:dyDescent="0.3">
      <c r="B48" s="25" t="s">
        <v>14</v>
      </c>
      <c r="C48" s="27">
        <f t="shared" si="19"/>
        <v>410579</v>
      </c>
      <c r="D48" s="27">
        <f t="shared" si="13"/>
        <v>9605</v>
      </c>
      <c r="E48" s="27">
        <f t="shared" si="14"/>
        <v>99400</v>
      </c>
      <c r="F48" s="27">
        <f t="shared" si="15"/>
        <v>47216</v>
      </c>
      <c r="G48" s="27">
        <f t="shared" si="16"/>
        <v>33207</v>
      </c>
      <c r="H48" s="27">
        <f t="shared" si="17"/>
        <v>60340</v>
      </c>
      <c r="I48" s="27">
        <f t="shared" si="18"/>
        <v>660347</v>
      </c>
    </row>
    <row r="49" spans="2:9" x14ac:dyDescent="0.3">
      <c r="B49" s="25" t="s">
        <v>15</v>
      </c>
      <c r="C49" s="27">
        <f t="shared" si="19"/>
        <v>544147</v>
      </c>
      <c r="D49" s="27">
        <f t="shared" si="13"/>
        <v>169298</v>
      </c>
      <c r="E49" s="27">
        <f t="shared" si="14"/>
        <v>159221</v>
      </c>
      <c r="F49" s="27">
        <f t="shared" si="15"/>
        <v>183171</v>
      </c>
      <c r="G49" s="27">
        <f t="shared" si="16"/>
        <v>42808</v>
      </c>
      <c r="H49" s="27">
        <f t="shared" si="17"/>
        <v>56353</v>
      </c>
      <c r="I49" s="27">
        <f t="shared" si="18"/>
        <v>1154998</v>
      </c>
    </row>
    <row r="50" spans="2:9" x14ac:dyDescent="0.3">
      <c r="B50" s="25" t="s">
        <v>27</v>
      </c>
      <c r="C50" s="27">
        <f t="shared" si="19"/>
        <v>557597</v>
      </c>
      <c r="D50" s="27">
        <f t="shared" si="13"/>
        <v>166596</v>
      </c>
      <c r="E50" s="27">
        <f t="shared" si="14"/>
        <v>166880</v>
      </c>
      <c r="F50" s="27">
        <f t="shared" si="15"/>
        <v>187848</v>
      </c>
      <c r="G50" s="27">
        <f t="shared" si="16"/>
        <v>43085</v>
      </c>
      <c r="H50" s="27">
        <f t="shared" si="17"/>
        <v>57681</v>
      </c>
      <c r="I50" s="27">
        <f t="shared" si="18"/>
        <v>1179687</v>
      </c>
    </row>
    <row r="51" spans="2:9" x14ac:dyDescent="0.3">
      <c r="H51" s="37" t="s">
        <v>24</v>
      </c>
      <c r="I51" s="29">
        <f>SUM(I39:I50)</f>
        <v>10076163</v>
      </c>
    </row>
    <row r="53" spans="2:9" x14ac:dyDescent="0.3">
      <c r="B53" s="53" t="s">
        <v>17</v>
      </c>
      <c r="C53" s="53"/>
      <c r="D53" s="53"/>
      <c r="E53" s="53"/>
      <c r="F53" s="53"/>
      <c r="G53" s="53"/>
      <c r="H53" s="53"/>
      <c r="I53" s="53"/>
    </row>
    <row r="54" spans="2:9" x14ac:dyDescent="0.3">
      <c r="B54" s="53" t="s">
        <v>79</v>
      </c>
      <c r="C54" s="53"/>
      <c r="D54" s="53"/>
      <c r="E54" s="53"/>
      <c r="F54" s="53"/>
      <c r="G54" s="53"/>
      <c r="H54" s="53"/>
      <c r="I54" s="53"/>
    </row>
    <row r="55" spans="2:9" ht="108.6" x14ac:dyDescent="0.3">
      <c r="B55" s="34" t="s">
        <v>0</v>
      </c>
      <c r="C55" s="31" t="s">
        <v>71</v>
      </c>
      <c r="D55" s="31" t="s">
        <v>19</v>
      </c>
      <c r="E55" s="31" t="s">
        <v>20</v>
      </c>
      <c r="F55" s="31" t="s">
        <v>21</v>
      </c>
      <c r="G55" s="31" t="s">
        <v>22</v>
      </c>
      <c r="H55" s="31" t="s">
        <v>23</v>
      </c>
      <c r="I55" s="31" t="s">
        <v>24</v>
      </c>
    </row>
    <row r="56" spans="2:9" x14ac:dyDescent="0.3">
      <c r="B56" s="25" t="s">
        <v>5</v>
      </c>
      <c r="C56" s="27">
        <f>SUM(D6+G6+J6+M6)</f>
        <v>22960</v>
      </c>
      <c r="D56" s="27">
        <f>SUM(Q6+T6+W6+Z6)</f>
        <v>7342</v>
      </c>
      <c r="E56" s="27">
        <f>SUM(AD6+AG6+AJ6+AM6)</f>
        <v>5158</v>
      </c>
      <c r="F56" s="27">
        <f>SUM(AQ6+AT6+AW6+AZ6)</f>
        <v>6130</v>
      </c>
      <c r="G56" s="27">
        <f>SUM(BD6+BG6+BJ6+BM6)</f>
        <v>895</v>
      </c>
      <c r="H56" s="27">
        <f>SUM(BQ6+BT6+BW6+BZ6)</f>
        <v>2736</v>
      </c>
      <c r="I56" s="27">
        <f>SUM(C56:H56)</f>
        <v>45221</v>
      </c>
    </row>
    <row r="57" spans="2:9" x14ac:dyDescent="0.3">
      <c r="B57" s="25" t="s">
        <v>6</v>
      </c>
      <c r="C57" s="27">
        <f t="shared" ref="C57:C67" si="20">SUM(D7+G7+J7+M7)</f>
        <v>24045</v>
      </c>
      <c r="D57" s="27">
        <f t="shared" ref="D57:D67" si="21">SUM(Q7+T7+W7+Z7)</f>
        <v>7801</v>
      </c>
      <c r="E57" s="27">
        <f t="shared" ref="E57:E67" si="22">SUM(AD7+AG7+AJ7+AM7)</f>
        <v>4677</v>
      </c>
      <c r="F57" s="27">
        <f t="shared" ref="F57:F67" si="23">SUM(AQ7+AT7+AW7+AZ7)</f>
        <v>6334</v>
      </c>
      <c r="G57" s="27">
        <f t="shared" ref="G57:G67" si="24">SUM(BD7+BG7+BJ7+BM7)</f>
        <v>906.5</v>
      </c>
      <c r="H57" s="27">
        <f t="shared" ref="H57:H67" si="25">SUM(BQ7+BT7+BW7+BZ7)</f>
        <v>2886</v>
      </c>
      <c r="I57" s="27">
        <f t="shared" ref="I57:I67" si="26">SUM(C57:H57)</f>
        <v>46649.5</v>
      </c>
    </row>
    <row r="58" spans="2:9" x14ac:dyDescent="0.3">
      <c r="B58" s="25" t="s">
        <v>7</v>
      </c>
      <c r="C58" s="27">
        <f t="shared" si="20"/>
        <v>10808</v>
      </c>
      <c r="D58" s="27">
        <f t="shared" si="21"/>
        <v>45</v>
      </c>
      <c r="E58" s="27">
        <f t="shared" si="22"/>
        <v>2289</v>
      </c>
      <c r="F58" s="27">
        <f t="shared" si="23"/>
        <v>96</v>
      </c>
      <c r="G58" s="27">
        <f t="shared" si="24"/>
        <v>795.5</v>
      </c>
      <c r="H58" s="27">
        <f t="shared" si="25"/>
        <v>3246</v>
      </c>
      <c r="I58" s="27">
        <f t="shared" si="26"/>
        <v>17279.5</v>
      </c>
    </row>
    <row r="59" spans="2:9" x14ac:dyDescent="0.3">
      <c r="B59" s="25" t="s">
        <v>8</v>
      </c>
      <c r="C59" s="27">
        <f t="shared" si="20"/>
        <v>6525</v>
      </c>
      <c r="D59" s="27">
        <f t="shared" si="21"/>
        <v>2620</v>
      </c>
      <c r="E59" s="27">
        <f t="shared" si="22"/>
        <v>2846</v>
      </c>
      <c r="F59" s="27">
        <f t="shared" si="23"/>
        <v>4250</v>
      </c>
      <c r="G59" s="27">
        <f t="shared" si="24"/>
        <v>405.5</v>
      </c>
      <c r="H59" s="27">
        <f t="shared" si="25"/>
        <v>3570</v>
      </c>
      <c r="I59" s="27">
        <f t="shared" si="26"/>
        <v>20216.5</v>
      </c>
    </row>
    <row r="60" spans="2:9" x14ac:dyDescent="0.3">
      <c r="B60" s="25" t="s">
        <v>9</v>
      </c>
      <c r="C60" s="27">
        <f t="shared" si="20"/>
        <v>11611</v>
      </c>
      <c r="D60" s="27">
        <f t="shared" si="21"/>
        <v>6113</v>
      </c>
      <c r="E60" s="27">
        <f t="shared" si="22"/>
        <v>3560</v>
      </c>
      <c r="F60" s="27">
        <f t="shared" si="23"/>
        <v>3931</v>
      </c>
      <c r="G60" s="27">
        <f t="shared" si="24"/>
        <v>743.5</v>
      </c>
      <c r="H60" s="27">
        <f t="shared" si="25"/>
        <v>3498</v>
      </c>
      <c r="I60" s="27">
        <f t="shared" si="26"/>
        <v>29456.5</v>
      </c>
    </row>
    <row r="61" spans="2:9" x14ac:dyDescent="0.3">
      <c r="B61" s="25" t="s">
        <v>10</v>
      </c>
      <c r="C61" s="27">
        <f t="shared" si="20"/>
        <v>10136</v>
      </c>
      <c r="D61" s="27">
        <f t="shared" si="21"/>
        <v>8461</v>
      </c>
      <c r="E61" s="27">
        <f t="shared" si="22"/>
        <v>3362</v>
      </c>
      <c r="F61" s="27">
        <f t="shared" si="23"/>
        <v>3548</v>
      </c>
      <c r="G61" s="27">
        <f t="shared" si="24"/>
        <v>843</v>
      </c>
      <c r="H61" s="27">
        <f t="shared" si="25"/>
        <v>2823</v>
      </c>
      <c r="I61" s="27">
        <f t="shared" si="26"/>
        <v>29173</v>
      </c>
    </row>
    <row r="62" spans="2:9" x14ac:dyDescent="0.3">
      <c r="B62" s="25" t="s">
        <v>11</v>
      </c>
      <c r="C62" s="27">
        <f t="shared" si="20"/>
        <v>10886</v>
      </c>
      <c r="D62" s="27">
        <f t="shared" si="21"/>
        <v>5203</v>
      </c>
      <c r="E62" s="27">
        <f t="shared" si="22"/>
        <v>3357</v>
      </c>
      <c r="F62" s="27">
        <f t="shared" si="23"/>
        <v>2561</v>
      </c>
      <c r="G62" s="27">
        <f t="shared" si="24"/>
        <v>874</v>
      </c>
      <c r="H62" s="27">
        <f t="shared" si="25"/>
        <v>3063</v>
      </c>
      <c r="I62" s="27">
        <f t="shared" si="26"/>
        <v>25944</v>
      </c>
    </row>
    <row r="63" spans="2:9" x14ac:dyDescent="0.3">
      <c r="B63" s="25" t="s">
        <v>12</v>
      </c>
      <c r="C63" s="27">
        <f t="shared" si="20"/>
        <v>11362</v>
      </c>
      <c r="D63" s="27">
        <f t="shared" si="21"/>
        <v>5394</v>
      </c>
      <c r="E63" s="27">
        <f t="shared" si="22"/>
        <v>2991</v>
      </c>
      <c r="F63" s="27">
        <f t="shared" si="23"/>
        <v>2675</v>
      </c>
      <c r="G63" s="27">
        <f t="shared" si="24"/>
        <v>1026</v>
      </c>
      <c r="H63" s="27">
        <f t="shared" si="25"/>
        <v>2885</v>
      </c>
      <c r="I63" s="27">
        <f t="shared" si="26"/>
        <v>26333</v>
      </c>
    </row>
    <row r="64" spans="2:9" x14ac:dyDescent="0.3">
      <c r="B64" s="25" t="s">
        <v>13</v>
      </c>
      <c r="C64" s="27">
        <f t="shared" si="20"/>
        <v>8395</v>
      </c>
      <c r="D64" s="27">
        <f t="shared" si="21"/>
        <v>1198</v>
      </c>
      <c r="E64" s="27">
        <f t="shared" si="22"/>
        <v>1886</v>
      </c>
      <c r="F64" s="27">
        <f t="shared" si="23"/>
        <v>979</v>
      </c>
      <c r="G64" s="27">
        <f t="shared" si="24"/>
        <v>658</v>
      </c>
      <c r="H64" s="27">
        <f t="shared" si="25"/>
        <v>2802</v>
      </c>
      <c r="I64" s="27">
        <f t="shared" si="26"/>
        <v>15918</v>
      </c>
    </row>
    <row r="65" spans="2:9" x14ac:dyDescent="0.3">
      <c r="B65" s="25" t="s">
        <v>14</v>
      </c>
      <c r="C65" s="27">
        <f t="shared" si="20"/>
        <v>9455</v>
      </c>
      <c r="D65" s="27">
        <f t="shared" si="21"/>
        <v>0</v>
      </c>
      <c r="E65" s="27">
        <f t="shared" si="22"/>
        <v>1208</v>
      </c>
      <c r="F65" s="27">
        <f t="shared" si="23"/>
        <v>446</v>
      </c>
      <c r="G65" s="27">
        <f t="shared" si="24"/>
        <v>679</v>
      </c>
      <c r="H65" s="27">
        <f t="shared" si="25"/>
        <v>2541</v>
      </c>
      <c r="I65" s="27">
        <f t="shared" si="26"/>
        <v>14329</v>
      </c>
    </row>
    <row r="66" spans="2:9" x14ac:dyDescent="0.3">
      <c r="B66" s="25" t="s">
        <v>15</v>
      </c>
      <c r="C66" s="27">
        <f t="shared" si="20"/>
        <v>10333</v>
      </c>
      <c r="D66" s="27">
        <f t="shared" si="21"/>
        <v>4434</v>
      </c>
      <c r="E66" s="27">
        <f t="shared" si="22"/>
        <v>2659</v>
      </c>
      <c r="F66" s="27">
        <f t="shared" si="23"/>
        <v>2680</v>
      </c>
      <c r="G66" s="27">
        <f t="shared" si="24"/>
        <v>1102</v>
      </c>
      <c r="H66" s="27">
        <f t="shared" si="25"/>
        <v>2405</v>
      </c>
      <c r="I66" s="27">
        <f t="shared" si="26"/>
        <v>23613</v>
      </c>
    </row>
    <row r="67" spans="2:9" x14ac:dyDescent="0.3">
      <c r="B67" s="25" t="s">
        <v>27</v>
      </c>
      <c r="C67" s="27">
        <f t="shared" si="20"/>
        <v>11170</v>
      </c>
      <c r="D67" s="27">
        <f t="shared" si="21"/>
        <v>4981</v>
      </c>
      <c r="E67" s="27">
        <f t="shared" si="22"/>
        <v>2938</v>
      </c>
      <c r="F67" s="27">
        <f t="shared" si="23"/>
        <v>3195</v>
      </c>
      <c r="G67" s="38">
        <f t="shared" si="24"/>
        <v>1312</v>
      </c>
      <c r="H67" s="27">
        <f t="shared" si="25"/>
        <v>2389</v>
      </c>
      <c r="I67" s="27">
        <f t="shared" si="26"/>
        <v>25985</v>
      </c>
    </row>
    <row r="68" spans="2:9" x14ac:dyDescent="0.3">
      <c r="H68" s="37" t="s">
        <v>24</v>
      </c>
      <c r="I68" s="35">
        <f>SUM(I56:I67)</f>
        <v>320118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FOOD WASTAGE-SANNAI MESS</vt:lpstr>
      <vt:lpstr>PLATE COUNT -SANNAI MESS</vt:lpstr>
      <vt:lpstr>REPORT - SANNASI MESS</vt:lpstr>
      <vt:lpstr>FOOD WASTAGE-D-MESS</vt:lpstr>
      <vt:lpstr>PLATE COUNT-D-MESS</vt:lpstr>
      <vt:lpstr>REPORT -D-MESS</vt:lpstr>
      <vt:lpstr>FOOD WASTAGE-SENBAGAM MESS</vt:lpstr>
      <vt:lpstr>PLATE COUNT-SENBAGAM MESS</vt:lpstr>
      <vt:lpstr>REPORT -SENBAGAM MESS</vt:lpstr>
      <vt:lpstr>FOOD WASTAGE-J-MESS</vt:lpstr>
      <vt:lpstr>PLATE COUNT-J MESS</vt:lpstr>
      <vt:lpstr>REPORT -J MESS</vt:lpstr>
      <vt:lpstr>FOOD WASTAGE-MEENAKSHI MESS</vt:lpstr>
      <vt:lpstr>PLATE COUNT-MMEAKSHI MESS</vt:lpstr>
      <vt:lpstr>REPORT -MEENAKSHI MESS</vt:lpstr>
      <vt:lpstr>FOOD WASTAGE-STAFF MESS</vt:lpstr>
      <vt:lpstr>PLATE COUNT-STAFF MESS</vt:lpstr>
      <vt:lpstr>REPORT -STAFF MESS</vt:lpstr>
      <vt:lpstr>ALL MESS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MUSHIR ALAM (RA2311026010230)</cp:lastModifiedBy>
  <dcterms:created xsi:type="dcterms:W3CDTF">2006-09-16T00:00:00Z</dcterms:created>
  <dcterms:modified xsi:type="dcterms:W3CDTF">2026-03-04T20:11:38Z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